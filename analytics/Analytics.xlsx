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Downloads\Excel Project\"/>
    </mc:Choice>
  </mc:AlternateContent>
  <xr:revisionPtr revIDLastSave="0" documentId="13_ncr:1_{61C75941-295C-4BE6-9A42-3E5290D9D7C6}" xr6:coauthVersionLast="47" xr6:coauthVersionMax="47" xr10:uidLastSave="{00000000-0000-0000-0000-000000000000}"/>
  <bookViews>
    <workbookView xWindow="-108" yWindow="-108" windowWidth="23256" windowHeight="12456" tabRatio="772" firstSheet="5" activeTab="5" xr2:uid="{00000000-000D-0000-FFFF-FFFF00000000}"/>
  </bookViews>
  <sheets>
    <sheet name="Post_Clean" sheetId="4" r:id="rId1"/>
    <sheet name="Engagment_Summary_Clean" sheetId="5" r:id="rId2"/>
    <sheet name="Campaign_Data_Clean" sheetId="6" r:id="rId3"/>
    <sheet name="Hashtag_Data_Clean" sheetId="8" r:id="rId4"/>
    <sheet name="Engagement_Analysis" sheetId="9" r:id="rId5"/>
    <sheet name="Platform_Analysis" sheetId="12" r:id="rId6"/>
    <sheet name="Hashtag_And_Content_Strategy" sheetId="14" r:id="rId7"/>
    <sheet name="Campaign_Effectiveness" sheetId="13" r:id="rId8"/>
    <sheet name="Follower_Retention_And_Loyality" sheetId="16" r:id="rId9"/>
    <sheet name="Post" sheetId="1" r:id="rId10"/>
    <sheet name="Engagment Summary" sheetId="2" r:id="rId11"/>
    <sheet name="Campaign Data" sheetId="3" r:id="rId12"/>
  </sheets>
  <definedNames>
    <definedName name="_xlnm._FilterDatabase" localSheetId="9" hidden="1">Post!$A$1:$M$1</definedName>
    <definedName name="_xlcn.WorksheetConnection_Myntra_Social_Media_Analytics.xlsxHashtag_Data_Clean" hidden="1">Hashtag_Data_Clean[]</definedName>
    <definedName name="_xlcn.WorksheetConnection_Myntra_Social_Media_Analytics.xlsxPost_Clean" hidden="1">Post_Clean[]</definedName>
    <definedName name="ExternalData_1" localSheetId="0" hidden="1">Post_Clean!$A$1:$O$301</definedName>
    <definedName name="ExternalData_2" localSheetId="1" hidden="1">Engagment_Summary_Clean!$A$1:$I$201</definedName>
    <definedName name="ExternalData_2" localSheetId="3" hidden="1">Hashtag_Data_Clean!$A$1:$N$457</definedName>
    <definedName name="ExternalData_3" localSheetId="2" hidden="1">'Campaign_Data_Clean'!$A$1:$F$5</definedName>
    <definedName name="Slicer_Platform">#N/A</definedName>
    <definedName name="Slicer_Platform1">#N/A</definedName>
    <definedName name="Slicer_Platform2">#N/A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ost_Clean" name="Post_Clean" connection="WorksheetConnection_Myntra_Social_Media_Analytics.xlsx!Post_Clean"/>
          <x15:modelTable id="Hashtag_Data_Clean" name="Hashtag_Data_Clean" connection="WorksheetConnection_Myntra_Social_Media_Analytics.xlsx!Hashtag_Data_Clean"/>
        </x15:modelTables>
        <x15:modelRelationships>
          <x15:modelRelationship fromTable="Hashtag_Data_Clean" fromColumn="Post ID" toTable="Post_Clean" toColumn="Pos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gsBh9W7a48zZe43sKmwdG/98/HB9TUkO8zrb1W442d8="/>
    </ext>
  </extLst>
</workbook>
</file>

<file path=xl/calcChain.xml><?xml version="1.0" encoding="utf-8"?>
<calcChain xmlns="http://schemas.openxmlformats.org/spreadsheetml/2006/main">
  <c r="J3" i="5" l="1"/>
  <c r="J2" i="5"/>
  <c r="D22" i="13"/>
  <c r="K84" i="5" a="1"/>
  <c r="K84" i="5" s="1"/>
  <c r="F105" i="13" l="1"/>
  <c r="G68" i="13"/>
  <c r="E88" i="14"/>
  <c r="E60" i="14"/>
  <c r="E24" i="14"/>
  <c r="F57" i="12"/>
  <c r="E24" i="12"/>
  <c r="A116" i="12"/>
  <c r="B116" i="12"/>
  <c r="C116" i="12"/>
  <c r="A117" i="12"/>
  <c r="A118" i="12"/>
  <c r="B118" i="12"/>
  <c r="C118" i="12"/>
  <c r="A119" i="12"/>
  <c r="B119" i="12"/>
  <c r="C119" i="12"/>
  <c r="A120" i="12"/>
  <c r="B120" i="12"/>
  <c r="C120" i="12"/>
  <c r="A121" i="12"/>
  <c r="B121" i="12"/>
  <c r="C121" i="12"/>
  <c r="A122" i="12"/>
  <c r="B122" i="12"/>
  <c r="C122" i="12"/>
  <c r="A123" i="12"/>
  <c r="B123" i="12"/>
  <c r="C123" i="12"/>
  <c r="A124" i="12"/>
  <c r="B124" i="12"/>
  <c r="C124" i="12"/>
  <c r="A125" i="12"/>
  <c r="B125" i="12"/>
  <c r="C125" i="12"/>
  <c r="A126" i="12"/>
  <c r="B126" i="12"/>
  <c r="C126" i="12"/>
  <c r="A127" i="12"/>
  <c r="B127" i="12"/>
  <c r="C127" i="12"/>
  <c r="A128" i="12"/>
  <c r="B128" i="12"/>
  <c r="C128" i="12"/>
  <c r="A129" i="12"/>
  <c r="B129" i="12"/>
  <c r="C129" i="12"/>
  <c r="D23" i="13"/>
  <c r="D24" i="13"/>
  <c r="D25" i="13"/>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K2" i="5" a="1"/>
  <c r="K2" i="5" s="1"/>
  <c r="K3" i="5" a="1"/>
  <c r="K3" i="5" s="1"/>
  <c r="K4" i="5" a="1"/>
  <c r="K4" i="5" s="1"/>
  <c r="K5" i="5" a="1"/>
  <c r="K5" i="5" s="1"/>
  <c r="K6" i="5" a="1"/>
  <c r="K6" i="5" s="1"/>
  <c r="K7" i="5" a="1"/>
  <c r="K7" i="5" s="1"/>
  <c r="K8" i="5" a="1"/>
  <c r="K8" i="5" s="1"/>
  <c r="K9" i="5" a="1"/>
  <c r="K9" i="5" s="1"/>
  <c r="K10" i="5" a="1"/>
  <c r="K10" i="5" s="1"/>
  <c r="K11" i="5" a="1"/>
  <c r="K11" i="5" s="1"/>
  <c r="K12" i="5" a="1"/>
  <c r="K12" i="5" s="1"/>
  <c r="K13" i="5" a="1"/>
  <c r="K13" i="5" s="1"/>
  <c r="K14" i="5" a="1"/>
  <c r="K14" i="5" s="1"/>
  <c r="K15" i="5" a="1"/>
  <c r="K15" i="5" s="1"/>
  <c r="K16" i="5" a="1"/>
  <c r="K16" i="5" s="1"/>
  <c r="K17" i="5" a="1"/>
  <c r="K17" i="5" s="1"/>
  <c r="K18" i="5" a="1"/>
  <c r="K18" i="5" s="1"/>
  <c r="K19" i="5" a="1"/>
  <c r="K19" i="5" s="1"/>
  <c r="K20" i="5" a="1"/>
  <c r="K20" i="5" s="1"/>
  <c r="K21" i="5" a="1"/>
  <c r="K21" i="5" s="1"/>
  <c r="K22" i="5" a="1"/>
  <c r="K22" i="5" s="1"/>
  <c r="K23" i="5" a="1"/>
  <c r="K23" i="5" s="1"/>
  <c r="K24" i="5" a="1"/>
  <c r="K24" i="5" s="1"/>
  <c r="K25" i="5" a="1"/>
  <c r="K25" i="5" s="1"/>
  <c r="K26" i="5" a="1"/>
  <c r="K26" i="5" s="1"/>
  <c r="K27" i="5" a="1"/>
  <c r="K27" i="5" s="1"/>
  <c r="K28" i="5" a="1"/>
  <c r="K28" i="5" s="1"/>
  <c r="K29" i="5" a="1"/>
  <c r="K29" i="5" s="1"/>
  <c r="K30" i="5" a="1"/>
  <c r="K30" i="5" s="1"/>
  <c r="K31" i="5" a="1"/>
  <c r="K31" i="5" s="1"/>
  <c r="K32" i="5" a="1"/>
  <c r="K32" i="5" s="1"/>
  <c r="K33" i="5" a="1"/>
  <c r="K33" i="5" s="1"/>
  <c r="K34" i="5" a="1"/>
  <c r="K34" i="5" s="1"/>
  <c r="K35" i="5" a="1"/>
  <c r="K35" i="5" s="1"/>
  <c r="K36" i="5" a="1"/>
  <c r="K36" i="5" s="1"/>
  <c r="K37" i="5" a="1"/>
  <c r="K37" i="5" s="1"/>
  <c r="K38" i="5" a="1"/>
  <c r="K38" i="5" s="1"/>
  <c r="K39" i="5" a="1"/>
  <c r="K39" i="5" s="1"/>
  <c r="K40" i="5" a="1"/>
  <c r="K40" i="5" s="1"/>
  <c r="K41" i="5" a="1"/>
  <c r="K41" i="5" s="1"/>
  <c r="K42" i="5" a="1"/>
  <c r="K42" i="5" s="1"/>
  <c r="K43" i="5" a="1"/>
  <c r="K43" i="5" s="1"/>
  <c r="K44" i="5" a="1"/>
  <c r="K44" i="5" s="1"/>
  <c r="K45" i="5" a="1"/>
  <c r="K45" i="5" s="1"/>
  <c r="K46" i="5" a="1"/>
  <c r="K46" i="5" s="1"/>
  <c r="K47" i="5" a="1"/>
  <c r="K47" i="5" s="1"/>
  <c r="K48" i="5" a="1"/>
  <c r="K48" i="5" s="1"/>
  <c r="K49" i="5" a="1"/>
  <c r="K49" i="5" s="1"/>
  <c r="K50" i="5" a="1"/>
  <c r="K50" i="5" s="1"/>
  <c r="K51" i="5" a="1"/>
  <c r="K51" i="5" s="1"/>
  <c r="K52" i="5" a="1"/>
  <c r="K52" i="5" s="1"/>
  <c r="K53" i="5" a="1"/>
  <c r="K53" i="5" s="1"/>
  <c r="K54" i="5" a="1"/>
  <c r="K54" i="5" s="1"/>
  <c r="K55" i="5" a="1"/>
  <c r="K55" i="5" s="1"/>
  <c r="K56" i="5" a="1"/>
  <c r="K56" i="5" s="1"/>
  <c r="K57" i="5" a="1"/>
  <c r="K57" i="5" s="1"/>
  <c r="K58" i="5" a="1"/>
  <c r="K58" i="5" s="1"/>
  <c r="K59" i="5" a="1"/>
  <c r="K59" i="5" s="1"/>
  <c r="K60" i="5" a="1"/>
  <c r="K60" i="5" s="1"/>
  <c r="K61" i="5" a="1"/>
  <c r="K61" i="5" s="1"/>
  <c r="K62" i="5" a="1"/>
  <c r="K62" i="5" s="1"/>
  <c r="K63" i="5" a="1"/>
  <c r="K63" i="5" s="1"/>
  <c r="K64" i="5" a="1"/>
  <c r="K64" i="5" s="1"/>
  <c r="K65" i="5" a="1"/>
  <c r="K65" i="5" s="1"/>
  <c r="K66" i="5" a="1"/>
  <c r="K66" i="5" s="1"/>
  <c r="K67" i="5" a="1"/>
  <c r="K67" i="5" s="1"/>
  <c r="K68" i="5" a="1"/>
  <c r="K68" i="5" s="1"/>
  <c r="K69" i="5" a="1"/>
  <c r="K69" i="5" s="1"/>
  <c r="K70" i="5" a="1"/>
  <c r="K70" i="5" s="1"/>
  <c r="K71" i="5" a="1"/>
  <c r="K71" i="5" s="1"/>
  <c r="K72" i="5" a="1"/>
  <c r="K72" i="5" s="1"/>
  <c r="K73" i="5" a="1"/>
  <c r="K73" i="5" s="1"/>
  <c r="K74" i="5" a="1"/>
  <c r="K74" i="5" s="1"/>
  <c r="K75" i="5" a="1"/>
  <c r="K75" i="5" s="1"/>
  <c r="K76" i="5" a="1"/>
  <c r="K76" i="5" s="1"/>
  <c r="K77" i="5" a="1"/>
  <c r="K77" i="5" s="1"/>
  <c r="K78" i="5" a="1"/>
  <c r="K78" i="5" s="1"/>
  <c r="K79" i="5" a="1"/>
  <c r="K79" i="5" s="1"/>
  <c r="K80" i="5" a="1"/>
  <c r="K80" i="5" s="1"/>
  <c r="K81" i="5" a="1"/>
  <c r="K81" i="5" s="1"/>
  <c r="K82" i="5" a="1"/>
  <c r="K82" i="5" s="1"/>
  <c r="K83" i="5" a="1"/>
  <c r="K83" i="5" s="1"/>
  <c r="K85" i="5" a="1"/>
  <c r="K85" i="5" s="1"/>
  <c r="K86" i="5" a="1"/>
  <c r="K86" i="5" s="1"/>
  <c r="K87" i="5" a="1"/>
  <c r="K87" i="5" s="1"/>
  <c r="K88" i="5" a="1"/>
  <c r="K88" i="5" s="1"/>
  <c r="K89" i="5" a="1"/>
  <c r="K89" i="5" s="1"/>
  <c r="K90" i="5" a="1"/>
  <c r="K90" i="5" s="1"/>
  <c r="K91" i="5" a="1"/>
  <c r="K91" i="5" s="1"/>
  <c r="K92" i="5" a="1"/>
  <c r="K92" i="5" s="1"/>
  <c r="K93" i="5" a="1"/>
  <c r="K93" i="5" s="1"/>
  <c r="K94" i="5" a="1"/>
  <c r="K94" i="5" s="1"/>
  <c r="K95" i="5" a="1"/>
  <c r="K95" i="5" s="1"/>
  <c r="K96" i="5" a="1"/>
  <c r="K96" i="5" s="1"/>
  <c r="K97" i="5" a="1"/>
  <c r="K97" i="5" s="1"/>
  <c r="K98" i="5" a="1"/>
  <c r="K98" i="5" s="1"/>
  <c r="K99" i="5" a="1"/>
  <c r="K99" i="5" s="1"/>
  <c r="K100" i="5" a="1"/>
  <c r="K100" i="5" s="1"/>
  <c r="K101" i="5" a="1"/>
  <c r="K101" i="5" s="1"/>
  <c r="K102" i="5" a="1"/>
  <c r="K102" i="5" s="1"/>
  <c r="K103" i="5" a="1"/>
  <c r="K103" i="5" s="1"/>
  <c r="K104" i="5" a="1"/>
  <c r="K104" i="5" s="1"/>
  <c r="K105" i="5" a="1"/>
  <c r="K105" i="5" s="1"/>
  <c r="K106" i="5" a="1"/>
  <c r="K106" i="5" s="1"/>
  <c r="K107" i="5" a="1"/>
  <c r="K107" i="5" s="1"/>
  <c r="K108" i="5" a="1"/>
  <c r="K108" i="5" s="1"/>
  <c r="K109" i="5" a="1"/>
  <c r="K109" i="5" s="1"/>
  <c r="K110" i="5" a="1"/>
  <c r="K110" i="5" s="1"/>
  <c r="K111" i="5" a="1"/>
  <c r="K111" i="5" s="1"/>
  <c r="K112" i="5" a="1"/>
  <c r="K112" i="5" s="1"/>
  <c r="K113" i="5" a="1"/>
  <c r="K113" i="5" s="1"/>
  <c r="K114" i="5" a="1"/>
  <c r="K114" i="5" s="1"/>
  <c r="K115" i="5" a="1"/>
  <c r="K115" i="5" s="1"/>
  <c r="K116" i="5" a="1"/>
  <c r="K116" i="5" s="1"/>
  <c r="K117" i="5" a="1"/>
  <c r="K117" i="5" s="1"/>
  <c r="K118" i="5" a="1"/>
  <c r="K118" i="5" s="1"/>
  <c r="K119" i="5" a="1"/>
  <c r="K119" i="5" s="1"/>
  <c r="K120" i="5" a="1"/>
  <c r="K120" i="5" s="1"/>
  <c r="K121" i="5" a="1"/>
  <c r="K121" i="5" s="1"/>
  <c r="K122" i="5" a="1"/>
  <c r="K122" i="5" s="1"/>
  <c r="K123" i="5" a="1"/>
  <c r="K123" i="5" s="1"/>
  <c r="K124" i="5" a="1"/>
  <c r="K124" i="5" s="1"/>
  <c r="K125" i="5" a="1"/>
  <c r="K125" i="5" s="1"/>
  <c r="K126" i="5" a="1"/>
  <c r="K126" i="5" s="1"/>
  <c r="K127" i="5" a="1"/>
  <c r="K127" i="5" s="1"/>
  <c r="K128" i="5" a="1"/>
  <c r="K128" i="5" s="1"/>
  <c r="K129" i="5" a="1"/>
  <c r="K129" i="5" s="1"/>
  <c r="K130" i="5" a="1"/>
  <c r="K130" i="5" s="1"/>
  <c r="K131" i="5" a="1"/>
  <c r="K131" i="5" s="1"/>
  <c r="K132" i="5" a="1"/>
  <c r="K132" i="5" s="1"/>
  <c r="K133" i="5" a="1"/>
  <c r="K133" i="5" s="1"/>
  <c r="K134" i="5" a="1"/>
  <c r="K134" i="5" s="1"/>
  <c r="K135" i="5" a="1"/>
  <c r="K135" i="5" s="1"/>
  <c r="K136" i="5" a="1"/>
  <c r="K136" i="5" s="1"/>
  <c r="K137" i="5" a="1"/>
  <c r="K137" i="5" s="1"/>
  <c r="K138" i="5" a="1"/>
  <c r="K138" i="5" s="1"/>
  <c r="K139" i="5" a="1"/>
  <c r="K139" i="5" s="1"/>
  <c r="K140" i="5" a="1"/>
  <c r="K140" i="5" s="1"/>
  <c r="K141" i="5" a="1"/>
  <c r="K141" i="5" s="1"/>
  <c r="K142" i="5" a="1"/>
  <c r="K142" i="5" s="1"/>
  <c r="K143" i="5" a="1"/>
  <c r="K143" i="5" s="1"/>
  <c r="K144" i="5" a="1"/>
  <c r="K144" i="5" s="1"/>
  <c r="K145" i="5" a="1"/>
  <c r="K145" i="5" s="1"/>
  <c r="K146" i="5" a="1"/>
  <c r="K146" i="5" s="1"/>
  <c r="K147" i="5" a="1"/>
  <c r="K147" i="5" s="1"/>
  <c r="K148" i="5" a="1"/>
  <c r="K148" i="5" s="1"/>
  <c r="K149" i="5" a="1"/>
  <c r="K149" i="5" s="1"/>
  <c r="K150" i="5" a="1"/>
  <c r="K150" i="5" s="1"/>
  <c r="K151" i="5" a="1"/>
  <c r="K151" i="5" s="1"/>
  <c r="K152" i="5" a="1"/>
  <c r="K152" i="5" s="1"/>
  <c r="K153" i="5" a="1"/>
  <c r="K153" i="5" s="1"/>
  <c r="K154" i="5" a="1"/>
  <c r="K154" i="5" s="1"/>
  <c r="K155" i="5" a="1"/>
  <c r="K155" i="5" s="1"/>
  <c r="K156" i="5" a="1"/>
  <c r="K156" i="5" s="1"/>
  <c r="K157" i="5" a="1"/>
  <c r="K157" i="5" s="1"/>
  <c r="K158" i="5" a="1"/>
  <c r="K158" i="5" s="1"/>
  <c r="K159" i="5" a="1"/>
  <c r="K159" i="5" s="1"/>
  <c r="K160" i="5" a="1"/>
  <c r="K160" i="5" s="1"/>
  <c r="K161" i="5" a="1"/>
  <c r="K161" i="5" s="1"/>
  <c r="K162" i="5" a="1"/>
  <c r="K162" i="5" s="1"/>
  <c r="K163" i="5" a="1"/>
  <c r="K163" i="5" s="1"/>
  <c r="K164" i="5" a="1"/>
  <c r="K164" i="5" s="1"/>
  <c r="K165" i="5" a="1"/>
  <c r="K165" i="5" s="1"/>
  <c r="K166" i="5" a="1"/>
  <c r="K166" i="5" s="1"/>
  <c r="K167" i="5" a="1"/>
  <c r="K167" i="5" s="1"/>
  <c r="K168" i="5" a="1"/>
  <c r="K168" i="5" s="1"/>
  <c r="K169" i="5" a="1"/>
  <c r="K169" i="5" s="1"/>
  <c r="K170" i="5" a="1"/>
  <c r="K170" i="5" s="1"/>
  <c r="K171" i="5" a="1"/>
  <c r="K171" i="5" s="1"/>
  <c r="K172" i="5" a="1"/>
  <c r="K172" i="5" s="1"/>
  <c r="K173" i="5" a="1"/>
  <c r="K173" i="5" s="1"/>
  <c r="K174" i="5" a="1"/>
  <c r="K174" i="5" s="1"/>
  <c r="K175" i="5" a="1"/>
  <c r="K175" i="5" s="1"/>
  <c r="K176" i="5" a="1"/>
  <c r="K176" i="5" s="1"/>
  <c r="K177" i="5" a="1"/>
  <c r="K177" i="5" s="1"/>
  <c r="K178" i="5" a="1"/>
  <c r="K178" i="5" s="1"/>
  <c r="K179" i="5" a="1"/>
  <c r="K179" i="5" s="1"/>
  <c r="K180" i="5" a="1"/>
  <c r="K180" i="5" s="1"/>
  <c r="K181" i="5" a="1"/>
  <c r="K181" i="5" s="1"/>
  <c r="K182" i="5" a="1"/>
  <c r="K182" i="5" s="1"/>
  <c r="K183" i="5" a="1"/>
  <c r="K183" i="5" s="1"/>
  <c r="K184" i="5" a="1"/>
  <c r="K184" i="5" s="1"/>
  <c r="K185" i="5" a="1"/>
  <c r="K185" i="5" s="1"/>
  <c r="K186" i="5" a="1"/>
  <c r="K186" i="5" s="1"/>
  <c r="K187" i="5" a="1"/>
  <c r="K187" i="5" s="1"/>
  <c r="K188" i="5" a="1"/>
  <c r="K188" i="5" s="1"/>
  <c r="K189" i="5" a="1"/>
  <c r="K189" i="5" s="1"/>
  <c r="K190" i="5" a="1"/>
  <c r="K190" i="5" s="1"/>
  <c r="K191" i="5" a="1"/>
  <c r="K191" i="5" s="1"/>
  <c r="K192" i="5" a="1"/>
  <c r="K192" i="5" s="1"/>
  <c r="K193" i="5" a="1"/>
  <c r="K193" i="5" s="1"/>
  <c r="K194" i="5" a="1"/>
  <c r="K194" i="5" s="1"/>
  <c r="K195" i="5" a="1"/>
  <c r="K195" i="5" s="1"/>
  <c r="K196" i="5" a="1"/>
  <c r="K196" i="5" s="1"/>
  <c r="K197" i="5" a="1"/>
  <c r="K197" i="5" s="1"/>
  <c r="K198" i="5" a="1"/>
  <c r="K198" i="5" s="1"/>
  <c r="K199" i="5" a="1"/>
  <c r="K199" i="5" s="1"/>
  <c r="K200" i="5" a="1"/>
  <c r="K200" i="5" s="1"/>
  <c r="K201" i="5" a="1"/>
  <c r="K201" i="5" s="1"/>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E43" i="16"/>
  <c r="F43" i="16"/>
  <c r="G43" i="16"/>
  <c r="E44" i="16"/>
  <c r="F44" i="16"/>
  <c r="G44" i="16"/>
  <c r="E45" i="16"/>
  <c r="F45" i="16"/>
  <c r="G45" i="16"/>
  <c r="E46" i="16"/>
  <c r="F46" i="16"/>
  <c r="G46" i="16"/>
  <c r="E47" i="16"/>
  <c r="F47" i="16"/>
  <c r="G47" i="16"/>
  <c r="E48" i="16"/>
  <c r="F48" i="16"/>
  <c r="G48" i="16"/>
  <c r="E49" i="16"/>
  <c r="F49" i="16"/>
  <c r="G49" i="16"/>
  <c r="E50" i="16"/>
  <c r="F50" i="16"/>
  <c r="G50" i="16"/>
  <c r="E51" i="16"/>
  <c r="F51" i="16"/>
  <c r="G51" i="16"/>
  <c r="E52" i="16"/>
  <c r="F52" i="16"/>
  <c r="G52" i="16"/>
  <c r="E53" i="16"/>
  <c r="F53" i="16"/>
  <c r="G53" i="16"/>
  <c r="E54" i="16"/>
  <c r="F54" i="16"/>
  <c r="G54" i="16"/>
  <c r="E55" i="16"/>
  <c r="F55" i="16"/>
  <c r="G55" i="16"/>
  <c r="E56" i="16"/>
  <c r="F56" i="16"/>
  <c r="G56" i="16"/>
  <c r="D27" i="16"/>
  <c r="E27" i="16" s="1"/>
  <c r="G39"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7C8FD-E002-4E28-B290-0F5F4442C7BF}" keepAlive="1" name="Query - Campaign_Data_Clean" description="Connection to the 'Campaign_Data_Clean' query in the workbook." type="5" refreshedVersion="8" background="1" saveData="1">
    <dbPr connection="Provider=Microsoft.Mashup.OleDb.1;Data Source=$Workbook$;Location=Campaign_Data_Clean;Extended Properties=&quot;&quot;" command="SELECT * FROM [Campaign_Data_Clean]"/>
  </connection>
  <connection id="2" xr16:uid="{A8FBE8A8-70CD-4EA2-9867-AF72FE2EEAFD}" keepAlive="1" name="Query - Engagment_Summary_Clean" description="Connection to the 'Engagment_Summary_Clean' query in the workbook." type="5" refreshedVersion="8" background="1" saveData="1">
    <dbPr connection="Provider=Microsoft.Mashup.OleDb.1;Data Source=$Workbook$;Location=Engagment_Summary_Clean;Extended Properties=&quot;&quot;" command="SELECT * FROM [Engagment_Summary_Clean]"/>
  </connection>
  <connection id="3" xr16:uid="{E5DBF6D6-979B-4DE6-BAFC-D4C7EF7F6BC2}" keepAlive="1" name="Query - Hashtag_Data_Clean" description="Connection to the 'Hashtag_Data_Clean' query in the workbook." type="5" refreshedVersion="8" background="1" saveData="1">
    <dbPr connection="Provider=Microsoft.Mashup.OleDb.1;Data Source=$Workbook$;Location=Hashtag_Data_Clean;Extended Properties=&quot;&quot;" command="SELECT * FROM [Hashtag_Data_Clean]"/>
  </connection>
  <connection id="4" xr16:uid="{E0B1C31F-D080-4343-B0B7-1CB2AE7ACA2F}" keepAlive="1" name="Query - Post_Clean" description="Connection to the 'Post_Clean' query in the workbook." type="5" refreshedVersion="8" background="1" saveData="1">
    <dbPr connection="Provider=Microsoft.Mashup.OleDb.1;Data Source=$Workbook$;Location=Post_Clean;Extended Properties=&quot;&quot;" command="SELECT * FROM [Post_Clean]"/>
  </connection>
  <connection id="5" xr16:uid="{B8543EC8-56D9-4598-9B53-D6488E9D61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A5DC693-8B68-46D8-8B5D-C1D37CEA7166}" name="WorksheetConnection_Myntra_Social_Media_Analytics.xlsx!Hashtag_Data_Clean" type="102" refreshedVersion="8" minRefreshableVersion="5">
    <extLst>
      <ext xmlns:x15="http://schemas.microsoft.com/office/spreadsheetml/2010/11/main" uri="{DE250136-89BD-433C-8126-D09CA5730AF9}">
        <x15:connection id="Hashtag_Data_Clean">
          <x15:rangePr sourceName="_xlcn.WorksheetConnection_Myntra_Social_Media_Analytics.xlsxHashtag_Data_Clean"/>
        </x15:connection>
      </ext>
    </extLst>
  </connection>
  <connection id="7" xr16:uid="{0CBFA6A0-FD96-406A-9D27-55CD67037C1D}" name="WorksheetConnection_Myntra_Social_Media_Analytics.xlsx!Post_Clean" type="102" refreshedVersion="8" minRefreshableVersion="5">
    <extLst>
      <ext xmlns:x15="http://schemas.microsoft.com/office/spreadsheetml/2010/11/main" uri="{DE250136-89BD-433C-8126-D09CA5730AF9}">
        <x15:connection id="Post_Clean" autoDelete="1">
          <x15:rangePr sourceName="_xlcn.WorksheetConnection_Myntra_Social_Media_Analytics.xlsxPost_Clean"/>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<sst xmlns="http://schemas.openxmlformats.org/spreadsheetml/2006/main" count="7297" uniqueCount="637">
  <si>
    <t>Post ID</t>
  </si>
  <si>
    <t>Platform</t>
  </si>
  <si>
    <t>Date</t>
  </si>
  <si>
    <t>Content Type</t>
  </si>
  <si>
    <t>Post Text</t>
  </si>
  <si>
    <t>Likes</t>
  </si>
  <si>
    <t>Shares</t>
  </si>
  <si>
    <t>Comments</t>
  </si>
  <si>
    <t>Impressions</t>
  </si>
  <si>
    <t>Reach</t>
  </si>
  <si>
    <t>Clicks</t>
  </si>
  <si>
    <t>Hashtags Used</t>
  </si>
  <si>
    <t>Campaign_Name</t>
  </si>
  <si>
    <t>P001</t>
  </si>
  <si>
    <t>Twitter</t>
  </si>
  <si>
    <t>2024-12-23</t>
  </si>
  <si>
    <t>Reel</t>
  </si>
  <si>
    <t>Explore the latest reel on Myntra! Trendy styles await.</t>
  </si>
  <si>
    <t>#MyntraSale</t>
  </si>
  <si>
    <t>FashionUpgrade</t>
  </si>
  <si>
    <t>P002</t>
  </si>
  <si>
    <t>2025-04-03</t>
  </si>
  <si>
    <t>Text</t>
  </si>
  <si>
    <t>Explore the latest text on Myntra! Trendy styles await.</t>
  </si>
  <si>
    <t>#MyntraFashion</t>
  </si>
  <si>
    <t>EndOfSeasonSale</t>
  </si>
  <si>
    <t>P003</t>
  </si>
  <si>
    <t>YouTube</t>
  </si>
  <si>
    <t>2025-05-12</t>
  </si>
  <si>
    <t>#MyntraFashion,#MyntraSale</t>
  </si>
  <si>
    <t>P004</t>
  </si>
  <si>
    <t>Instagram</t>
  </si>
  <si>
    <t>2024-08-12</t>
  </si>
  <si>
    <t>Story</t>
  </si>
  <si>
    <t>Explore the latest story on Myntra! Trendy styles await.</t>
  </si>
  <si>
    <t>P005</t>
  </si>
  <si>
    <t>2024-06-26</t>
  </si>
  <si>
    <t>#StyleWithMyntra,#MyntraFashion</t>
  </si>
  <si>
    <t>MyntraFestiveEdit</t>
  </si>
  <si>
    <t>P006</t>
  </si>
  <si>
    <t>Facebook</t>
  </si>
  <si>
    <t>2024-10-31</t>
  </si>
  <si>
    <t>Carousel</t>
  </si>
  <si>
    <t>Explore the latest carousel on Myntra! Trendy styles await.</t>
  </si>
  <si>
    <t>#MyntraTrend</t>
  </si>
  <si>
    <t>P007</t>
  </si>
  <si>
    <t>2024-06-24</t>
  </si>
  <si>
    <t>P008</t>
  </si>
  <si>
    <t>2024-07-13</t>
  </si>
  <si>
    <t>Image</t>
  </si>
  <si>
    <t>Explore the latest image on Myntra! Trendy styles await.</t>
  </si>
  <si>
    <t>P009</t>
  </si>
  <si>
    <t>2024-08-30</t>
  </si>
  <si>
    <t>P010</t>
  </si>
  <si>
    <t>2025-03-11</t>
  </si>
  <si>
    <t>StyleRevolution</t>
  </si>
  <si>
    <t>P011</t>
  </si>
  <si>
    <t>2025-02-02</t>
  </si>
  <si>
    <t>#StyleWithMyntra</t>
  </si>
  <si>
    <t>P012</t>
  </si>
  <si>
    <t>2024-07-21</t>
  </si>
  <si>
    <t>#StyleWithMyntra,#MyntraSale</t>
  </si>
  <si>
    <t>P013</t>
  </si>
  <si>
    <t>2024-11-18</t>
  </si>
  <si>
    <t>P014</t>
  </si>
  <si>
    <t>2025-02-16</t>
  </si>
  <si>
    <t>#MyntraSale,#MyntraFashion</t>
  </si>
  <si>
    <t>P015</t>
  </si>
  <si>
    <t>2024-10-24</t>
  </si>
  <si>
    <t>Video</t>
  </si>
  <si>
    <t>Explore the latest video on Myntra! Trendy styles await.</t>
  </si>
  <si>
    <t>#MyntraFashion,#FashionDeals</t>
  </si>
  <si>
    <t>P016</t>
  </si>
  <si>
    <t>2024-08-26</t>
  </si>
  <si>
    <t>#MyntraSale,#FashionDeals</t>
  </si>
  <si>
    <t>P017</t>
  </si>
  <si>
    <t>2025-05-05</t>
  </si>
  <si>
    <t>#FashionDeals</t>
  </si>
  <si>
    <t>P018</t>
  </si>
  <si>
    <t>2024-08-19</t>
  </si>
  <si>
    <t>P019</t>
  </si>
  <si>
    <t>2024-06-23</t>
  </si>
  <si>
    <t>#MyntraSale,#StyleWithMyntra</t>
  </si>
  <si>
    <t>P020</t>
  </si>
  <si>
    <t>2024-09-09</t>
  </si>
  <si>
    <t>P021</t>
  </si>
  <si>
    <t>2025-01-04</t>
  </si>
  <si>
    <t>#StyleWithMyntra,#MyntraTrend</t>
  </si>
  <si>
    <t>P022</t>
  </si>
  <si>
    <t>2025-02-27</t>
  </si>
  <si>
    <t>P023</t>
  </si>
  <si>
    <t>2024-11-06</t>
  </si>
  <si>
    <t>P024</t>
  </si>
  <si>
    <t>2025-01-23</t>
  </si>
  <si>
    <t>P025</t>
  </si>
  <si>
    <t>2025-04-10</t>
  </si>
  <si>
    <t>P026</t>
  </si>
  <si>
    <t>2025-04-05</t>
  </si>
  <si>
    <t>P027</t>
  </si>
  <si>
    <t>2024-09-17</t>
  </si>
  <si>
    <t>P028</t>
  </si>
  <si>
    <t>2025-03-04</t>
  </si>
  <si>
    <t>#MyntraSale,#MyntraTrend</t>
  </si>
  <si>
    <t>P029</t>
  </si>
  <si>
    <t>2025-01-31</t>
  </si>
  <si>
    <t>#MyntraTrend,#MyntraFashion</t>
  </si>
  <si>
    <t>P030</t>
  </si>
  <si>
    <t>2025-02-25</t>
  </si>
  <si>
    <t>P031</t>
  </si>
  <si>
    <t>2024-12-16</t>
  </si>
  <si>
    <t>P032</t>
  </si>
  <si>
    <t>2024-07-31</t>
  </si>
  <si>
    <t>P033</t>
  </si>
  <si>
    <t>2024-08-21</t>
  </si>
  <si>
    <t>P034</t>
  </si>
  <si>
    <t>2025-03-26</t>
  </si>
  <si>
    <t>#MyntraTrend,#FashionDeals</t>
  </si>
  <si>
    <t>P035</t>
  </si>
  <si>
    <t>2024-11-30</t>
  </si>
  <si>
    <t>P036</t>
  </si>
  <si>
    <t>2025-04-19</t>
  </si>
  <si>
    <t>P037</t>
  </si>
  <si>
    <t>2025-01-06</t>
  </si>
  <si>
    <t>P038</t>
  </si>
  <si>
    <t>2025-02-17</t>
  </si>
  <si>
    <t>P039</t>
  </si>
  <si>
    <t>2024-11-25</t>
  </si>
  <si>
    <t>#FashionDeals,#MyntraSale</t>
  </si>
  <si>
    <t>P040</t>
  </si>
  <si>
    <t>2025-03-07</t>
  </si>
  <si>
    <t>P041</t>
  </si>
  <si>
    <t>2025-03-08</t>
  </si>
  <si>
    <t>P042</t>
  </si>
  <si>
    <t>2025-03-05</t>
  </si>
  <si>
    <t>P043</t>
  </si>
  <si>
    <t>2024-12-14</t>
  </si>
  <si>
    <t>P044</t>
  </si>
  <si>
    <t>2025-03-02</t>
  </si>
  <si>
    <t>P045</t>
  </si>
  <si>
    <t>2024-11-01</t>
  </si>
  <si>
    <t>P046</t>
  </si>
  <si>
    <t>2025-05-02</t>
  </si>
  <si>
    <t>P047</t>
  </si>
  <si>
    <t>2025-02-24</t>
  </si>
  <si>
    <t>#FashionDeals,#MyntraFashion</t>
  </si>
  <si>
    <t>P048</t>
  </si>
  <si>
    <t>#MyntraFashion,#StyleWithMyntra</t>
  </si>
  <si>
    <t>P049</t>
  </si>
  <si>
    <t>2024-06-10</t>
  </si>
  <si>
    <t>P050</t>
  </si>
  <si>
    <t>2024-07-03</t>
  </si>
  <si>
    <t>P051</t>
  </si>
  <si>
    <t>2024-06-13</t>
  </si>
  <si>
    <t>P052</t>
  </si>
  <si>
    <t>2025-01-03</t>
  </si>
  <si>
    <t>P053</t>
  </si>
  <si>
    <t>P054</t>
  </si>
  <si>
    <t>2025-03-13</t>
  </si>
  <si>
    <t>P055</t>
  </si>
  <si>
    <t>2024-06-17</t>
  </si>
  <si>
    <t>P056</t>
  </si>
  <si>
    <t>2024-12-18</t>
  </si>
  <si>
    <t>#StyleWithMyntra,#FashionDeals</t>
  </si>
  <si>
    <t>P057</t>
  </si>
  <si>
    <t>2024-10-21</t>
  </si>
  <si>
    <t>P058</t>
  </si>
  <si>
    <t>2025-04-15</t>
  </si>
  <si>
    <t>P059</t>
  </si>
  <si>
    <t>2024-06-22</t>
  </si>
  <si>
    <t>P060</t>
  </si>
  <si>
    <t>2025-01-28</t>
  </si>
  <si>
    <t>P061</t>
  </si>
  <si>
    <t>2024-09-05</t>
  </si>
  <si>
    <t>P062</t>
  </si>
  <si>
    <t>2024-11-22</t>
  </si>
  <si>
    <t>P063</t>
  </si>
  <si>
    <t>P064</t>
  </si>
  <si>
    <t>2024-08-17</t>
  </si>
  <si>
    <t>#FashionDeals,#MyntraTrend</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</si>
  <si>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</si>
  <si>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</si>
  <si>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</si>
  <si>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</si>
  <si>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</si>
  <si>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</si>
  <si>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</si>
  <si>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</si>
  <si>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</si>
  <si>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</si>
  <si>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</si>
  <si>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</si>
  <si>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</si>
  <si>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</si>
  <si>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</si>
  <si>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</si>
  <si>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</si>
  <si>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</si>
  <si>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</si>
  <si>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</si>
  <si>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</si>
  <si>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</si>
  <si>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</si>
  <si>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</si>
  <si>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</si>
  <si>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</si>
  <si>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</si>
  <si>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</si>
  <si>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</si>
  <si>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</si>
  <si>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#MyntraTrend,#MyntraSale</t>
  </si>
  <si>
    <t>P082</t>
  </si>
  <si>
    <t>2024-07-24</t>
  </si>
  <si>
    <t>P083</t>
  </si>
  <si>
    <t>2024-10-15</t>
  </si>
  <si>
    <t>#MyntraTrend,#StyleWithMyntra</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</si>
  <si>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</si>
  <si>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</si>
  <si>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</si>
  <si>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</si>
  <si>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</si>
  <si>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</si>
  <si>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</si>
  <si>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</si>
  <si>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</si>
  <si>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</si>
  <si>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</si>
  <si>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</si>
  <si>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</si>
  <si>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</si>
  <si>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</si>
  <si>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</si>
  <si>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</si>
  <si>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</si>
  <si>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</si>
  <si>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</si>
  <si>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</si>
  <si>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</si>
  <si>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</si>
  <si>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</si>
  <si>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</si>
  <si>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</si>
  <si>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</si>
  <si>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</si>
  <si>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</si>
  <si>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</si>
  <si>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</si>
  <si>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</si>
  <si>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</si>
  <si>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</si>
  <si>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</si>
  <si>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</si>
  <si>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</si>
  <si>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</si>
  <si>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</si>
  <si>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</si>
  <si>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</si>
  <si>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</si>
  <si>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</si>
  <si>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</si>
  <si>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</si>
  <si>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</si>
  <si>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</si>
  <si>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</si>
  <si>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</si>
  <si>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#FashionDeals,#StyleWithMyntra</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</si>
  <si>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</si>
  <si>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</si>
  <si>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</si>
  <si>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</si>
  <si>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</si>
  <si>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</si>
  <si>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</si>
  <si>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</si>
  <si>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</si>
  <si>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</si>
  <si>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</si>
  <si>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</si>
  <si>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</si>
  <si>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</si>
  <si>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</si>
  <si>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</si>
  <si>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</si>
  <si>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</si>
  <si>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</si>
  <si>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</si>
  <si>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#MyntraFashion,#MyntraTrend</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</si>
  <si>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</si>
  <si>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</si>
  <si>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</si>
  <si>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</si>
  <si>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</si>
  <si>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</si>
  <si>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</si>
  <si>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</si>
  <si>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</si>
  <si>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</si>
  <si>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</si>
  <si>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</si>
  <si>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</si>
  <si>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</si>
  <si>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</si>
  <si>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</si>
  <si>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</si>
  <si>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</si>
  <si>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</si>
  <si>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</si>
  <si>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</si>
  <si>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</si>
  <si>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</si>
  <si>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</si>
  <si>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</si>
  <si>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</si>
  <si>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</si>
  <si>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P141</t>
  </si>
  <si>
    <t>2024-08-31</t>
  </si>
  <si>
    <t>P142</t>
  </si>
  <si>
    <t>P143</t>
  </si>
  <si>
    <t>P144</t>
  </si>
  <si>
    <t>P145</t>
  </si>
  <si>
    <t>P146</t>
  </si>
  <si>
    <t>2024-06-05</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</si>
  <si>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</si>
  <si>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</si>
  <si>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</si>
  <si>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</si>
  <si>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</si>
  <si>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</si>
  <si>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</si>
  <si>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</si>
  <si>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</si>
  <si>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</si>
  <si>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</si>
  <si>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</si>
  <si>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</si>
  <si>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</si>
  <si>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</si>
  <si>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</si>
  <si>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</si>
  <si>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</si>
  <si>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</si>
  <si>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</si>
  <si>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</si>
  <si>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</si>
  <si>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</si>
  <si>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</si>
  <si>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</si>
  <si>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</si>
  <si>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</si>
  <si>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</si>
  <si>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</si>
  <si>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</si>
  <si>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</si>
  <si>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</si>
  <si>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</si>
  <si>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</si>
  <si>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</si>
  <si>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</si>
  <si>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</si>
  <si>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</si>
  <si>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</si>
  <si>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</si>
  <si>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</si>
  <si>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</si>
  <si>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</si>
  <si>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</si>
  <si>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</si>
  <si>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</si>
  <si>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</si>
  <si>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</si>
  <si>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</si>
  <si>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</si>
  <si>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</si>
  <si>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</si>
  <si>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</si>
  <si>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</si>
  <si>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</si>
  <si>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</si>
  <si>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</si>
  <si>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</si>
  <si>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</si>
  <si>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</si>
  <si>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</si>
  <si>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</si>
  <si>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</si>
  <si>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</si>
  <si>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</si>
  <si>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</si>
  <si>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</si>
  <si>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</si>
  <si>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</si>
  <si>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</si>
  <si>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</si>
  <si>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</si>
  <si>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</si>
  <si>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</si>
  <si>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</si>
  <si>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</si>
  <si>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</si>
  <si>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</si>
  <si>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</si>
  <si>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</si>
  <si>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</si>
  <si>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</si>
  <si>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</si>
  <si>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</si>
  <si>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</si>
  <si>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</si>
  <si>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</si>
  <si>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</si>
  <si>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</si>
  <si>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</si>
  <si>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</si>
  <si>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</si>
  <si>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</si>
  <si>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</si>
  <si>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</si>
  <si>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</si>
  <si>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</si>
  <si>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</si>
  <si>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</si>
  <si>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</si>
  <si>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</si>
  <si>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</si>
  <si>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</si>
  <si>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</si>
  <si>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</si>
  <si>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</si>
  <si>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</si>
  <si>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</si>
  <si>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</si>
  <si>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</si>
  <si>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</si>
  <si>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</si>
  <si>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</si>
  <si>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</si>
  <si>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</si>
  <si>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</si>
  <si>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</si>
  <si>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</si>
  <si>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</si>
  <si>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</si>
  <si>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</si>
  <si>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</si>
  <si>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</si>
  <si>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</si>
  <si>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</si>
  <si>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</si>
  <si>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</si>
  <si>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</si>
  <si>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</si>
  <si>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</si>
  <si>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</si>
  <si>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</si>
  <si>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</si>
  <si>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</si>
  <si>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</si>
  <si>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</si>
  <si>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</si>
  <si>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</si>
  <si>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P237</t>
  </si>
  <si>
    <t>P238</t>
  </si>
  <si>
    <t>2024-07-16</t>
  </si>
  <si>
    <t>P239</t>
  </si>
  <si>
    <t>P240</t>
  </si>
  <si>
    <t>P241</t>
  </si>
  <si>
    <t>2025-01-18</t>
  </si>
  <si>
    <t>P242</t>
  </si>
  <si>
    <t>P243</t>
  </si>
  <si>
    <t>2025-03-06</t>
  </si>
  <si>
    <t>P244</t>
  </si>
  <si>
    <t>2024-10-25</t>
  </si>
  <si>
    <t>P245</t>
  </si>
  <si>
    <t>2025-01-12</t>
  </si>
  <si>
    <t>P246</t>
  </si>
  <si>
    <t>2024-10-11</t>
  </si>
  <si>
    <t>P247</t>
  </si>
  <si>
    <t>2024-08-27</t>
  </si>
  <si>
    <t>P248</t>
  </si>
  <si>
    <t>P249</t>
  </si>
  <si>
    <t>P250</t>
  </si>
  <si>
    <t>P251</t>
  </si>
  <si>
    <t>2025-03-27</t>
  </si>
  <si>
    <t>P252</t>
  </si>
  <si>
    <t>P253</t>
  </si>
  <si>
    <t>2024-08-03</t>
  </si>
  <si>
    <t>P254</t>
  </si>
  <si>
    <t>2025-01-14</t>
  </si>
  <si>
    <t>P255</t>
  </si>
  <si>
    <t>P256</t>
  </si>
  <si>
    <t>P257</t>
  </si>
  <si>
    <t>P258</t>
  </si>
  <si>
    <t>2024-08-05</t>
  </si>
  <si>
    <t>P259</t>
  </si>
  <si>
    <t>P260</t>
  </si>
  <si>
    <t>2025-02-12</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</si>
  <si>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</si>
  <si>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</si>
  <si>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</si>
  <si>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</si>
  <si>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</si>
  <si>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</si>
  <si>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</si>
  <si>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</si>
  <si>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</si>
  <si>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</si>
  <si>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</si>
  <si>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</si>
  <si>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</si>
  <si>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</si>
  <si>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</si>
  <si>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</si>
  <si>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</si>
  <si>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</si>
  <si>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</si>
  <si>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</si>
  <si>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</si>
  <si>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</si>
  <si>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</si>
  <si>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</si>
  <si>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</si>
  <si>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</si>
  <si>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</si>
  <si>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</si>
  <si>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</si>
  <si>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</si>
  <si>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</si>
  <si>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</si>
  <si>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</si>
  <si>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</si>
  <si>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</si>
  <si>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</si>
  <si>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</si>
  <si>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</si>
  <si>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</si>
  <si>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</si>
  <si>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</si>
  <si>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</si>
  <si>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</si>
  <si>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</si>
  <si>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</si>
  <si>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</si>
  <si>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</si>
  <si>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</si>
  <si>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</si>
  <si>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</si>
  <si>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</si>
  <si>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</si>
  <si>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</si>
  <si>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</si>
  <si>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</si>
  <si>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</si>
  <si>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</si>
  <si>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</si>
  <si>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</si>
  <si>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</si>
  <si>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</si>
  <si>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</si>
  <si>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</si>
  <si>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</si>
  <si>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</si>
  <si>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</si>
  <si>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</si>
  <si>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Start_Date</t>
  </si>
  <si>
    <t>End_Date</t>
  </si>
  <si>
    <t>Objective</t>
  </si>
  <si>
    <t>Total_Budget</t>
  </si>
  <si>
    <t>Target_Platforms</t>
  </si>
  <si>
    <t>Seasonal Clearance Promotion</t>
  </si>
  <si>
    <t>Instagram,Facebook</t>
  </si>
  <si>
    <t>Customer Engagement</t>
  </si>
  <si>
    <t>Instagram,YouTube</t>
  </si>
  <si>
    <t>Festive Collection Launch</t>
  </si>
  <si>
    <t>Facebook,Instagram</t>
  </si>
  <si>
    <t>Brand Awareness &amp; Growth</t>
  </si>
  <si>
    <t>Instagram,Twitter</t>
  </si>
  <si>
    <t>Engagement Rate</t>
  </si>
  <si>
    <t>Youtube</t>
  </si>
  <si>
    <t>Instagram,Youtube</t>
  </si>
  <si>
    <t>Row Labels</t>
  </si>
  <si>
    <t>Average Clicks</t>
  </si>
  <si>
    <t>Average Engagement Rate</t>
  </si>
  <si>
    <t>Follower Growth Rate</t>
  </si>
  <si>
    <t>Sum of Follower Growth Rate</t>
  </si>
  <si>
    <t>Sum of Ad_Spend</t>
  </si>
  <si>
    <t>Campaign_Phase</t>
  </si>
  <si>
    <t>Before Campaign</t>
  </si>
  <si>
    <t>During Campaign</t>
  </si>
  <si>
    <t>Total Ad_Spend</t>
  </si>
  <si>
    <t>Frequently Used Hashtags</t>
  </si>
  <si>
    <t>ROI</t>
  </si>
  <si>
    <t>Total</t>
  </si>
  <si>
    <t>Values</t>
  </si>
  <si>
    <t>Follower_Growth</t>
  </si>
  <si>
    <t>Sum of Follower_Growth</t>
  </si>
  <si>
    <t>Top 10 Posts</t>
  </si>
  <si>
    <t>Total Engagement</t>
  </si>
  <si>
    <t>Total Likes</t>
  </si>
  <si>
    <t>Total Shares</t>
  </si>
  <si>
    <t>Total Comments</t>
  </si>
  <si>
    <t>Campaign Name</t>
  </si>
  <si>
    <t>Total Impressions</t>
  </si>
  <si>
    <t>Average Impressions</t>
  </si>
  <si>
    <t>Average Likes</t>
  </si>
  <si>
    <t>Total Clicks</t>
  </si>
  <si>
    <t>Hashtags</t>
  </si>
  <si>
    <t>Engagement</t>
  </si>
  <si>
    <t>Platforms</t>
  </si>
  <si>
    <t>Follower Growth_Rate</t>
  </si>
  <si>
    <t>Average of Engagement</t>
  </si>
  <si>
    <t>Uplift %</t>
  </si>
  <si>
    <t>Week with Highest Follower Gain</t>
  </si>
  <si>
    <t>From</t>
  </si>
  <si>
    <t>Till</t>
  </si>
  <si>
    <t>Jan</t>
  </si>
  <si>
    <t>Feb</t>
  </si>
  <si>
    <t>Mar</t>
  </si>
  <si>
    <t>Apr</t>
  </si>
  <si>
    <t>May</t>
  </si>
  <si>
    <t>Jun</t>
  </si>
  <si>
    <t>Jul</t>
  </si>
  <si>
    <t>Aug</t>
  </si>
  <si>
    <t>Sep</t>
  </si>
  <si>
    <t>Oct</t>
  </si>
  <si>
    <t>Nov</t>
  </si>
  <si>
    <t>Dec</t>
  </si>
  <si>
    <t>Net Follower_Growth</t>
  </si>
  <si>
    <t>Average Engagement</t>
  </si>
  <si>
    <t>Campaing Phase</t>
  </si>
  <si>
    <t xml:space="preserve">Platform with Highest Engagement : </t>
  </si>
  <si>
    <t xml:space="preserve">Platform with Highest Follower Growth Rate : </t>
  </si>
  <si>
    <t xml:space="preserve">Most Frequently Used Hashtag : </t>
  </si>
  <si>
    <t xml:space="preserve">Content Type with Highest Engagement : </t>
  </si>
  <si>
    <t xml:space="preserve">Hashtag with Highest Average Engagement : </t>
  </si>
  <si>
    <t xml:space="preserve">Campaign Name with Highest Uplift %: </t>
  </si>
  <si>
    <t xml:space="preserve">Aggregate ROI </t>
  </si>
  <si>
    <t>Campaign Name with Highest ROI:</t>
  </si>
  <si>
    <t>Campaign Name with Highest Net Follower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</si>
</sst>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_ * #,##0.000000000_ ;_ * \-#,##0.000000000_ ;_ * &quot;-&quot;??_ ;_ @_ "/>
    <numFmt numFmtId="166" formatCode="0.0%"/>
    <numFmt numFmtId="167" formatCode="0.000000"/>
  </numFmts>
  <fonts count="12"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sz val="10"/>
      <color theme="1"/>
      <name val="Arial"/>
    </font>
    <font>
      <sz val="8"/>
      <name val="Calibri"/>
      <scheme val="minor"/>
    </font>
    <font>
      <b/>
      <sz val="11"/>
      <color theme="1"/>
      <name val="Calibri"/>
      <scheme val="minor"/>
    </font>
    <font>
      <b/>
      <sz val="11"/>
      <color theme="1"/>
      <name val="Calibri"/>
      <family val="2"/>
      <scheme val="minor"/>
    </font>
    <font>
      <b/>
      <sz val="14"/>
      <color theme="1"/>
      <name val="Calibri"/>
      <family val="2"/>
      <scheme val="minor"/>
    </font>
    <font>
      <sz val="14"/>
      <color theme="1"/>
      <name val="Calibri"/>
      <family val="2"/>
      <scheme val="minor"/>
    </font>
    <font>
      <b/>
      <sz val="14"/>
      <color rgb="FF000000"/>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CD5B4"/>
        <bgColor rgb="FF000000"/>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bottom style="thin">
        <color rgb="FF000000"/>
      </bottom>
      <diagonal/>
    </border>
    <border>
      <left/>
      <right/>
      <top/>
      <bottom style="thin">
        <color theme="4" tint="0.39997558519241921"/>
      </bottom>
      <diagonal/>
    </border>
    <border>
      <left/>
      <right/>
      <top/>
      <bottom style="thin">
        <color rgb="FF95B3D7"/>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39">
    <xf numFmtId="0" fontId="0" fillId="0" borderId="0" xfId="0"/>
    <xf numFmtId="0" fontId="3" fillId="0" borderId="0" xfId="0" applyFont="1"/>
    <xf numFmtId="14" fontId="4" fillId="0" borderId="0" xfId="0" applyNumberFormat="1" applyFont="1"/>
    <xf numFmtId="0" fontId="4" fillId="0" borderId="1"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horizontal="right" wrapText="1"/>
    </xf>
    <xf numFmtId="0" fontId="5" fillId="0" borderId="1" xfId="0" applyFont="1" applyBorder="1" applyAlignment="1">
      <alignment wrapText="1"/>
    </xf>
    <xf numFmtId="14" fontId="5" fillId="0" borderId="1" xfId="0" applyNumberFormat="1" applyFont="1" applyBorder="1" applyAlignment="1">
      <alignment horizontal="right" wrapText="1"/>
    </xf>
    <xf numFmtId="0" fontId="5" fillId="0" borderId="1" xfId="0" applyFont="1" applyBorder="1" applyAlignment="1">
      <alignment horizontal="right" wrapText="1"/>
    </xf>
    <xf numFmtId="0" fontId="5" fillId="0" borderId="1" xfId="0" applyFont="1" applyBorder="1" applyAlignment="1">
      <alignment vertical="center"/>
    </xf>
    <xf numFmtId="0" fontId="2" fillId="0" borderId="2"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1" applyNumberFormat="1" applyFont="1"/>
    <xf numFmtId="9" fontId="0" fillId="0" borderId="0" xfId="0" applyNumberFormat="1"/>
    <xf numFmtId="0" fontId="7" fillId="2" borderId="3" xfId="0" applyFont="1" applyFill="1" applyBorder="1"/>
    <xf numFmtId="0" fontId="0" fillId="0" borderId="0" xfId="0" applyAlignment="1">
      <alignment horizontal="left" indent="1"/>
    </xf>
    <xf numFmtId="10" fontId="0" fillId="0" borderId="0" xfId="0" applyNumberFormat="1"/>
    <xf numFmtId="9" fontId="0" fillId="0" borderId="0" xfId="2" applyFont="1"/>
    <xf numFmtId="166" fontId="0" fillId="0" borderId="0" xfId="2" applyNumberFormat="1" applyFont="1"/>
    <xf numFmtId="0" fontId="8" fillId="0" borderId="0" xfId="0" applyFont="1"/>
    <xf numFmtId="167" fontId="0" fillId="0" borderId="0" xfId="0" applyNumberFormat="1"/>
    <xf numFmtId="0" fontId="1" fillId="0" borderId="0" xfId="0" applyFont="1"/>
    <xf numFmtId="0" fontId="8" fillId="3" borderId="3" xfId="0" applyFont="1" applyFill="1" applyBorder="1"/>
    <xf numFmtId="0" fontId="9" fillId="0" borderId="0" xfId="0" applyFont="1" applyAlignment="1">
      <alignment horizontal="center" vertical="center"/>
    </xf>
    <xf numFmtId="0" fontId="9" fillId="4" borderId="3" xfId="0" applyFont="1" applyFill="1" applyBorder="1" applyAlignment="1">
      <alignment horizontal="center" wrapText="1"/>
    </xf>
    <xf numFmtId="0" fontId="7" fillId="0" borderId="0" xfId="0" applyFont="1"/>
    <xf numFmtId="0" fontId="11" fillId="5" borderId="0" xfId="0" applyFont="1" applyFill="1" applyAlignment="1">
      <alignment horizontal="center" vertical="center" wrapText="1"/>
    </xf>
    <xf numFmtId="0" fontId="11" fillId="0" borderId="0" xfId="0" applyFont="1" applyAlignment="1">
      <alignment vertical="center"/>
    </xf>
    <xf numFmtId="0" fontId="11" fillId="5" borderId="4" xfId="0" applyFont="1" applyFill="1" applyBorder="1" applyAlignment="1">
      <alignment horizontal="center" wrapText="1"/>
    </xf>
    <xf numFmtId="0" fontId="11" fillId="0" borderId="0" xfId="0" applyFont="1" applyAlignment="1">
      <alignment horizontal="center" vertical="center"/>
    </xf>
    <xf numFmtId="0" fontId="11" fillId="0" borderId="0" xfId="0" applyFont="1" applyAlignment="1">
      <alignment horizontal="center" vertical="center" wrapText="1"/>
    </xf>
    <xf numFmtId="14" fontId="10" fillId="0" borderId="0" xfId="0" applyNumberFormat="1" applyFont="1" applyAlignment="1">
      <alignment horizontal="center" vertical="center"/>
    </xf>
    <xf numFmtId="0" fontId="9" fillId="4" borderId="0" xfId="0" applyFont="1" applyFill="1" applyAlignment="1">
      <alignment horizontal="center" vertical="center" wrapText="1"/>
    </xf>
    <xf numFmtId="0" fontId="8" fillId="4" borderId="0" xfId="0" applyFont="1" applyFill="1"/>
    <xf numFmtId="0" fontId="11" fillId="5" borderId="4" xfId="0" applyFont="1" applyFill="1" applyBorder="1" applyAlignment="1">
      <alignment horizontal="center" vertical="center" wrapText="1"/>
    </xf>
  </cellXfs>
  <cellStyles count="3">
    <cellStyle name="Comma" xfId="1" builtinId="3"/>
    <cellStyle name="Normal" xfId="0" builtinId="0"/>
    <cellStyle name="Percent" xfId="2" builtinId="5"/>
  </cellStyles>
  <dxfs count="65">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3" formatCode="0%"/>
    </dxf>
    <dxf>
      <numFmt numFmtId="164" formatCode="_ * #,##0_ ;_ * \-#,##0_ ;_ * &quot;-&quot;??_ ;_ @_ "/>
    </dxf>
    <dxf>
      <numFmt numFmtId="167" formatCode="0.000000"/>
    </dxf>
    <dxf>
      <numFmt numFmtId="2" formatCode="0.00"/>
    </dxf>
    <dxf>
      <numFmt numFmtId="2" formatCode="0.00"/>
    </dxf>
    <dxf>
      <numFmt numFmtId="2" formatCode="0.00"/>
    </dxf>
    <dxf>
      <numFmt numFmtId="164" formatCode="_ * #,##0_ ;_ * \-#,##0_ ;_ * &quot;-&quot;??_ ;_ @_ "/>
    </dxf>
    <dxf>
      <numFmt numFmtId="35" formatCode="_ * #,##0.00_ ;_ * \-#,##0.00_ ;_ * &quot;-&quot;??_ ;_ @_ "/>
    </dxf>
    <dxf>
      <numFmt numFmtId="2" formatCode="0.00"/>
    </dxf>
    <dxf>
      <numFmt numFmtId="14" formatCode="0.00%"/>
    </dxf>
    <dxf>
      <numFmt numFmtId="14" formatCode="0.00%"/>
    </dxf>
    <dxf>
      <numFmt numFmtId="164" formatCode="_ * #,##0_ ;_ * \-#,##0_ ;_ * &quot;-&quot;??_ ;_ @_ "/>
    </dxf>
    <dxf>
      <numFmt numFmtId="164" formatCode="_ * #,##0_ ;_ * \-#,##0_ ;_ * &quot;-&quot;??_ ;_ @_ "/>
    </dxf>
    <dxf>
      <numFmt numFmtId="2" formatCode="0.00"/>
    </dxf>
    <dxf>
      <numFmt numFmtId="2" formatCode="0.00"/>
    </dxf>
    <dxf>
      <numFmt numFmtId="2" formatCode="0.00"/>
    </dxf>
    <dxf>
      <numFmt numFmtId="2" formatCode="0.00"/>
    </dxf>
    <dxf>
      <numFmt numFmtId="13" formatCode="0%"/>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19" formatCode="dd/mm/yyyy"/>
    </dxf>
    <dxf>
      <numFmt numFmtId="0" formatCode="General"/>
    </dxf>
    <dxf>
      <numFmt numFmtId="19" formatCode="dd/mm/yyyy"/>
    </dxf>
    <dxf>
      <numFmt numFmtId="2"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[Myntra_Social_Media_Analytics.xlsx]Engagement_Analysis!PivotTable1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 Engagement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Engagement_Analysis!$B$8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Engagement_Analysis!$A$9:$A$12</c:f>
              <c:strCache>
                <c:ptCount val="4"/>
                <c:pt idx="0">
                  <c:v>Instagram</c:v>
                </c:pt>
                <c:pt idx="1">
                  <c:v>Twitter</c:v>
                </c:pt>
                <c:pt idx="2">
                  <c:v>Youtube</c:v>
                </c:pt>
                <c:pt idx="3">
                  <c:v>Facebook</c:v>
                </c:pt>
              </c:strCache>
            </c:strRef>
          </c:cat>
          <c:val>
            <c:numRef>
              <c:f>Engagement_Analysis!$B$9:$B$12</c:f>
              <c:numCache>
                <c:formatCode>0%</c:formatCode>
                <c:ptCount val="4"/>
                <c:pt idx="0">
                  <c:v>0.19329257693923488</c:v>
                </c:pt>
                <c:pt idx="1">
                  <c:v>0.14368407434207892</c:v>
                </c:pt>
                <c:pt idx="2">
                  <c:v>0.13118493770753806</c:v>
                </c:pt>
                <c:pt idx="3">
                  <c:v>0.12197289956132547</c:v>
                </c:pt>
              </c:numCache>
            </c:numRef>
          </c:val>
          <c:extLst>
            <c:ext xmlns:c16="http://schemas.microsoft.com/office/drawing/2014/chart" uri="{C3380CC4-5D6E-409C-BE32-E72D297353CC}">
              <c16:uniqueId val="{00000000-7677-43F1-9D4C-6471442861D0}"/>
            </c:ext>
          </c:extLst>
        </c:ser>
        <c:dLbls>
          <c:dLblPos val="outEnd"/>
          <c:showLegendKey val="0"/>
          <c:showVal val="1"/>
          <c:showCatName val="0"/>
          <c:showSerName val="0"/>
          <c:showPercent val="0"/>
          <c:showBubbleSize val="0"/>
        </c:dLbls>
        <c:gapWidth val="219"/>
        <c:overlap val="-27"/>
        <c:axId val="485268735"/>
        <c:axId val="485270655"/>
      </c:barChart>
      <c:catAx>
        <c:axId val="48526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270655"/>
        <c:crosses val="autoZero"/>
        <c:auto val="1"/>
        <c:lblAlgn val="ctr"/>
        <c:lblOffset val="100"/>
        <c:noMultiLvlLbl val="0"/>
      </c:catAx>
      <c:valAx>
        <c:axId val="485270655"/>
        <c:scaling>
          <c:orientation val="minMax"/>
        </c:scaling>
        <c:delete val="1"/>
        <c:axPos val="l"/>
        <c:numFmt formatCode="0%" sourceLinked="1"/>
        <c:majorTickMark val="none"/>
        <c:minorTickMark val="none"/>
        <c:tickLblPos val="nextTo"/>
        <c:crossAx val="48526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[Myntra_Social_Media_Analytics.xlsx]Engagement_Analysis!PivotTable2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Engagement Rate Per Post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Engagement_Analysis!$B$44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Engagement_Analysis!$A$45:$A$54</c:f>
              <c:strCache>
                <c:ptCount val="10"/>
                <c:pt idx="0">
                  <c:v>P220</c:v>
                </c:pt>
                <c:pt idx="1">
                  <c:v>P058</c:v>
                </c:pt>
                <c:pt idx="2">
                  <c:v>P232</c:v>
                </c:pt>
                <c:pt idx="3">
                  <c:v>P178</c:v>
                </c:pt>
                <c:pt idx="4">
                  <c:v>P175</c:v>
                </c:pt>
                <c:pt idx="5">
                  <c:v>P062</c:v>
                </c:pt>
                <c:pt idx="6">
                  <c:v>P264</c:v>
                </c:pt>
                <c:pt idx="7">
                  <c:v>P143</c:v>
                </c:pt>
                <c:pt idx="8">
                  <c:v>P210</c:v>
                </c:pt>
                <c:pt idx="9">
                  <c:v>P070</c:v>
                </c:pt>
              </c:strCache>
            </c:strRef>
          </c:cat>
          <c:val>
            <c:numRef>
              <c:f>Engagement_Analysis!$B$45:$B$54</c:f>
              <c:numCache>
                <c:formatCode>0.00</c:formatCode>
                <c:ptCount val="10"/>
                <c:pt idx="0">
                  <c:v>1.8129251700680271</c:v>
                </c:pt>
                <c:pt idx="1">
                  <c:v>0.86601941747572819</c:v>
                </c:pt>
                <c:pt idx="2">
                  <c:v>0.7168674698795181</c:v>
                </c:pt>
                <c:pt idx="3">
                  <c:v>0.70387596899224802</c:v>
                </c:pt>
                <c:pt idx="4">
                  <c:v>0.6508215962441315</c:v>
                </c:pt>
                <c:pt idx="5">
                  <c:v>0.53773584905660377</c:v>
                </c:pt>
                <c:pt idx="6">
                  <c:v>0.53389830508474578</c:v>
                </c:pt>
                <c:pt idx="7">
                  <c:v>0.50192307692307692</c:v>
                </c:pt>
                <c:pt idx="8">
                  <c:v>0.48518407662376534</c:v>
                </c:pt>
                <c:pt idx="9">
                  <c:v>0.38274706867671693</c:v>
                </c:pt>
              </c:numCache>
            </c:numRef>
          </c:val>
          <c:extLst>
            <c:ext xmlns:c16="http://schemas.microsoft.com/office/drawing/2014/chart" uri="{C3380CC4-5D6E-409C-BE32-E72D297353CC}">
              <c16:uniqueId val="{00000000-C052-41D8-8FF5-49ADF03ED1EF}"/>
            </c:ext>
          </c:extLst>
        </c:ser>
        <c:dLbls>
          <c:dLblPos val="outEnd"/>
          <c:showLegendKey val="0"/>
          <c:showVal val="1"/>
          <c:showCatName val="0"/>
          <c:showSerName val="0"/>
          <c:showPercent val="0"/>
          <c:showBubbleSize val="0"/>
        </c:dLbls>
        <c:gapWidth val="182"/>
        <c:axId val="2127462815"/>
        <c:axId val="2127461855"/>
      </c:barChart>
      <c:catAx>
        <c:axId val="21274628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61855"/>
        <c:crosses val="autoZero"/>
        <c:auto val="1"/>
        <c:lblAlgn val="ctr"/>
        <c:lblOffset val="100"/>
        <c:noMultiLvlLbl val="0"/>
      </c:catAx>
      <c:valAx>
        <c:axId val="2127461855"/>
        <c:scaling>
          <c:orientation val="minMax"/>
        </c:scaling>
        <c:delete val="0"/>
        <c:axPos val="t"/>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6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[Myntra_Social_Media_Analytics.xlsx]Engagement_Analysis!PivotTable3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Engagement_Analysis!$B$79</c:f>
              <c:strCache>
                <c:ptCount val="1"/>
                <c:pt idx="0">
                  <c:v>Total Likes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Engagement_Analysis!$A$80:$A$85</c:f>
              <c:strCache>
                <c:ptCount val="6"/>
                <c:pt idx="0">
                  <c:v>Image</c:v>
                </c:pt>
                <c:pt idx="1">
                  <c:v>Carousel</c:v>
                </c:pt>
                <c:pt idx="2">
                  <c:v>Reel</c:v>
                </c:pt>
                <c:pt idx="3">
                  <c:v>Story</c:v>
                </c:pt>
                <c:pt idx="4">
                  <c:v>Text</c:v>
                </c:pt>
                <c:pt idx="5">
                  <c:v>Video</c:v>
                </c:pt>
              </c:strCache>
            </c:strRef>
          </c:cat>
          <c:val>
            <c:numRef>
              <c:f>Engagement_Analysis!$B$80:$B$85</c:f>
              <c:numCache>
                <c:formatCode>_ * #,##0_ ;_ * \-#,##0_ ;_ * "-"??_ ;_ @_ </c:formatCode>
                <c:ptCount val="6"/>
                <c:pt idx="0">
                  <c:v>173468</c:v>
                </c:pt>
                <c:pt idx="1">
                  <c:v>161999</c:v>
                </c:pt>
                <c:pt idx="2">
                  <c:v>127945</c:v>
                </c:pt>
                <c:pt idx="3">
                  <c:v>124488</c:v>
                </c:pt>
                <c:pt idx="4">
                  <c:v>116496</c:v>
                </c:pt>
                <c:pt idx="5">
                  <c:v>115595</c:v>
                </c:pt>
              </c:numCache>
            </c:numRef>
          </c:val>
          <c:extLst>
            <c:ext xmlns:c16="http://schemas.microsoft.com/office/drawing/2014/chart" uri="{C3380CC4-5D6E-409C-BE32-E72D297353CC}">
              <c16:uniqueId val="{00000000-9A64-415D-9CB0-D86E7D398E60}"/>
            </c:ext>
          </c:extLst>
        </c:ser>
        <c:ser>
          <c:idx val="1"/>
          <c:order val="1"/>
          <c:tx>
            <c:strRef>
              <c:f>Engagement_Analysis!$C$79</c:f>
              <c:strCache>
                <c:ptCount val="1"/>
                <c:pt idx="0">
                  <c:v>Total Shares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Engagement_Analysis!$A$80:$A$85</c:f>
              <c:strCache>
                <c:ptCount val="6"/>
                <c:pt idx="0">
                  <c:v>Image</c:v>
                </c:pt>
                <c:pt idx="1">
                  <c:v>Carousel</c:v>
                </c:pt>
                <c:pt idx="2">
                  <c:v>Reel</c:v>
                </c:pt>
                <c:pt idx="3">
                  <c:v>Story</c:v>
                </c:pt>
                <c:pt idx="4">
                  <c:v>Text</c:v>
                </c:pt>
                <c:pt idx="5">
                  <c:v>Video</c:v>
                </c:pt>
              </c:strCache>
            </c:strRef>
          </c:cat>
          <c:val>
            <c:numRef>
              <c:f>Engagement_Analysis!$C$80:$C$85</c:f>
              <c:numCache>
                <c:formatCode>_ * #,##0_ ;_ * \-#,##0_ ;_ * "-"??_ ;_ @_ </c:formatCode>
                <c:ptCount val="6"/>
                <c:pt idx="0">
                  <c:v>29610</c:v>
                </c:pt>
                <c:pt idx="1">
                  <c:v>26471</c:v>
                </c:pt>
                <c:pt idx="2">
                  <c:v>23201</c:v>
                </c:pt>
                <c:pt idx="3">
                  <c:v>23955</c:v>
                </c:pt>
                <c:pt idx="4">
                  <c:v>18693</c:v>
                </c:pt>
                <c:pt idx="5">
                  <c:v>20995</c:v>
                </c:pt>
              </c:numCache>
            </c:numRef>
          </c:val>
          <c:extLst>
            <c:ext xmlns:c16="http://schemas.microsoft.com/office/drawing/2014/chart" uri="{C3380CC4-5D6E-409C-BE32-E72D297353CC}">
              <c16:uniqueId val="{00000001-9A64-415D-9CB0-D86E7D398E60}"/>
            </c:ext>
          </c:extLst>
        </c:ser>
        <c:ser>
          <c:idx val="2"/>
          <c:order val="2"/>
          <c:tx>
            <c:strRef>
              <c:f>Engagement_Analysis!$D$79</c:f>
              <c:strCache>
                <c:ptCount val="1"/>
                <c:pt idx="0">
                  <c:v>Total Comments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Engagement_Analysis!$A$80:$A$85</c:f>
              <c:strCache>
                <c:ptCount val="6"/>
                <c:pt idx="0">
                  <c:v>Image</c:v>
                </c:pt>
                <c:pt idx="1">
                  <c:v>Carousel</c:v>
                </c:pt>
                <c:pt idx="2">
                  <c:v>Reel</c:v>
                </c:pt>
                <c:pt idx="3">
                  <c:v>Story</c:v>
                </c:pt>
                <c:pt idx="4">
                  <c:v>Text</c:v>
                </c:pt>
                <c:pt idx="5">
                  <c:v>Video</c:v>
                </c:pt>
              </c:strCache>
            </c:strRef>
          </c:cat>
          <c:val>
            <c:numRef>
              <c:f>Engagement_Analysis!$D$80:$D$85</c:f>
              <c:numCache>
                <c:formatCode>_ * #,##0_ ;_ * \-#,##0_ ;_ * "-"??_ ;_ @_ </c:formatCode>
                <c:ptCount val="6"/>
                <c:pt idx="0">
                  <c:v>16352</c:v>
                </c:pt>
                <c:pt idx="1">
                  <c:v>14508</c:v>
                </c:pt>
                <c:pt idx="2">
                  <c:v>11320</c:v>
                </c:pt>
                <c:pt idx="3">
                  <c:v>12107</c:v>
                </c:pt>
                <c:pt idx="4">
                  <c:v>10285</c:v>
                </c:pt>
                <c:pt idx="5">
                  <c:v>10279</c:v>
                </c:pt>
              </c:numCache>
            </c:numRef>
          </c:val>
          <c:extLst>
            <c:ext xmlns:c16="http://schemas.microsoft.com/office/drawing/2014/chart" uri="{C3380CC4-5D6E-409C-BE32-E72D297353CC}">
              <c16:uniqueId val="{00000002-9A64-415D-9CB0-D86E7D398E60}"/>
            </c:ext>
          </c:extLst>
        </c:ser>
        <c:dLbls>
          <c:dLblPos val="outEnd"/>
          <c:showLegendKey val="0"/>
          <c:showVal val="1"/>
          <c:showCatName val="0"/>
          <c:showSerName val="0"/>
          <c:showPercent val="0"/>
          <c:showBubbleSize val="0"/>
        </c:dLbls>
        <c:gapWidth val="219"/>
        <c:overlap val="-27"/>
        <c:axId val="681024095"/>
        <c:axId val="681022655"/>
      </c:barChart>
      <c:catAx>
        <c:axId val="68102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22655"/>
        <c:crosses val="autoZero"/>
        <c:auto val="1"/>
        <c:lblAlgn val="ctr"/>
        <c:lblOffset val="100"/>
        <c:noMultiLvlLbl val="0"/>
      </c:catAx>
      <c:valAx>
        <c:axId val="681022655"/>
        <c:scaling>
          <c:orientation val="minMax"/>
        </c:scaling>
        <c:delete val="1"/>
        <c:axPos val="l"/>
        <c:numFmt formatCode="_ * #,##0_ ;_ * \-#,##0_ ;_ * &quot;-&quot;??_ ;_ @_ " sourceLinked="1"/>
        <c:majorTickMark val="none"/>
        <c:minorTickMark val="none"/>
        <c:tickLblPos val="nextTo"/>
        <c:crossAx val="681024095"/>
        <c:crosses val="autoZero"/>
        <c:crossBetween val="between"/>
      </c:valAx>
      <c:spPr>
        <a:noFill/>
        <a:ln>
          <a:noFill/>
        </a:ln>
        <a:effectLst/>
      </c:spPr>
    </c:plotArea>
    <c:legend>
      <c:legendPos val="r"/>
      <c:layout>
        <c:manualLayout>
          <c:xMode val="edge"/>
          <c:yMode val="edge"/>
          <c:x val="0.74620699279105951"/>
          <c:y val="7.2914351963673041E-3"/>
          <c:w val="0.14632694386052422"/>
          <c:h val="0.26648213451846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[Myntra_Social_Media_Analytics.xlsx]Engagement_Analysis!PivotTable4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Clicks</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Engagement_Analysis!$B$114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Engagement_Analysis!$A$115:$A$119</c:f>
              <c:strCache>
                <c:ptCount val="5"/>
                <c:pt idx="0">
                  <c:v>#MyntraTrend</c:v>
                </c:pt>
                <c:pt idx="1">
                  <c:v>#FashionDeals</c:v>
                </c:pt>
                <c:pt idx="2">
                  <c:v>#MyntraSale</c:v>
                </c:pt>
                <c:pt idx="3">
                  <c:v>#StyleWithMyntra</c:v>
                </c:pt>
                <c:pt idx="4">
                  <c:v>#MyntraFashion</c:v>
                </c:pt>
              </c:strCache>
            </c:strRef>
          </c:cat>
          <c:val>
            <c:numRef>
              <c:f>Engagement_Analysis!$B$115:$B$119</c:f>
              <c:numCache>
                <c:formatCode>0.00</c:formatCode>
                <c:ptCount val="5"/>
                <c:pt idx="0">
                  <c:v>165.27173913043478</c:v>
                </c:pt>
                <c:pt idx="1">
                  <c:v>152.57499999999999</c:v>
                </c:pt>
                <c:pt idx="2">
                  <c:v>149.70103092783506</c:v>
                </c:pt>
                <c:pt idx="3">
                  <c:v>146.16346153846155</c:v>
                </c:pt>
                <c:pt idx="4">
                  <c:v>140.96385542168676</c:v>
                </c:pt>
              </c:numCache>
            </c:numRef>
          </c:val>
          <c:extLst>
            <c:ext xmlns:c16="http://schemas.microsoft.com/office/drawing/2014/chart" uri="{C3380CC4-5D6E-409C-BE32-E72D297353CC}">
              <c16:uniqueId val="{00000000-6DAE-4C7C-BB23-E31D986CE0F0}"/>
            </c:ext>
          </c:extLst>
        </c:ser>
        <c:dLbls>
          <c:dLblPos val="outEnd"/>
          <c:showLegendKey val="0"/>
          <c:showVal val="1"/>
          <c:showCatName val="0"/>
          <c:showSerName val="0"/>
          <c:showPercent val="0"/>
          <c:showBubbleSize val="0"/>
        </c:dLbls>
        <c:gapWidth val="219"/>
        <c:overlap val="-27"/>
        <c:axId val="696563599"/>
        <c:axId val="696561679"/>
      </c:barChart>
      <c:catAx>
        <c:axId val="69656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61679"/>
        <c:crosses val="autoZero"/>
        <c:auto val="1"/>
        <c:lblAlgn val="ctr"/>
        <c:lblOffset val="100"/>
        <c:noMultiLvlLbl val="0"/>
      </c:catAx>
      <c:valAx>
        <c:axId val="696561679"/>
        <c:scaling>
          <c:orientation val="minMax"/>
        </c:scaling>
        <c:delete val="1"/>
        <c:axPos val="l"/>
        <c:numFmt formatCode="0.00" sourceLinked="1"/>
        <c:majorTickMark val="none"/>
        <c:minorTickMark val="none"/>
        <c:tickLblPos val="nextTo"/>
        <c:crossAx val="69656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[Myntra_Social_Media_Analytics.xlsx]Engagement_Analysis!PivotTable6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Top</a:t>
            </a:r>
            <a:r>
              <a:rPr lang="en-US" b="1" i="1" u="sng" baseline="0">
                <a:solidFill>
                  <a:schemeClr val="tx1"/>
                </a:solidFill>
              </a:rPr>
              <a:t> 3 Hashtags</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Engagement_Analysis!$B$151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Engagement_Analysis!$A$152:$A$154</c:f>
              <c:strCache>
                <c:ptCount val="3"/>
                <c:pt idx="0">
                  <c:v>#MyntraTrend</c:v>
                </c:pt>
                <c:pt idx="1">
                  <c:v>#FashionDeals</c:v>
                </c:pt>
                <c:pt idx="2">
                  <c:v>#MyntraSale</c:v>
                </c:pt>
              </c:strCache>
            </c:strRef>
          </c:cat>
          <c:val>
            <c:numRef>
              <c:f>Engagement_Analysis!$B$152:$B$154</c:f>
              <c:numCache>
                <c:formatCode>0.00</c:formatCode>
                <c:ptCount val="3"/>
                <c:pt idx="0">
                  <c:v>165.27173913043478</c:v>
                </c:pt>
                <c:pt idx="1">
                  <c:v>152.57499999999999</c:v>
                </c:pt>
                <c:pt idx="2">
                  <c:v>149.70103092783506</c:v>
                </c:pt>
              </c:numCache>
            </c:numRef>
          </c:val>
          <c:extLst>
            <c:ext xmlns:c16="http://schemas.microsoft.com/office/drawing/2014/chart" uri="{C3380CC4-5D6E-409C-BE32-E72D297353CC}">
              <c16:uniqueId val="{00000000-6B00-4556-A8A3-AFF945DFE1B8}"/>
            </c:ext>
          </c:extLst>
        </c:ser>
        <c:dLbls>
          <c:dLblPos val="outEnd"/>
          <c:showLegendKey val="0"/>
          <c:showVal val="1"/>
          <c:showCatName val="0"/>
          <c:showSerName val="0"/>
          <c:showPercent val="0"/>
          <c:showBubbleSize val="0"/>
        </c:dLbls>
        <c:gapWidth val="182"/>
        <c:axId val="359288815"/>
        <c:axId val="359287375"/>
      </c:barChart>
      <c:catAx>
        <c:axId val="3592888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87375"/>
        <c:crosses val="autoZero"/>
        <c:auto val="1"/>
        <c:lblAlgn val="ctr"/>
        <c:lblOffset val="100"/>
        <c:noMultiLvlLbl val="0"/>
      </c:catAx>
      <c:valAx>
        <c:axId val="359287375"/>
        <c:scaling>
          <c:orientation val="minMax"/>
        </c:scaling>
        <c:delete val="1"/>
        <c:axPos val="t"/>
        <c:numFmt formatCode="0.00" sourceLinked="1"/>
        <c:majorTickMark val="none"/>
        <c:minorTickMark val="none"/>
        <c:tickLblPos val="nextTo"/>
        <c:crossAx val="35928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[Myntra_Social_Media_Analytics.xlsx]Platform_Analysis!PivotTable11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Platform_Analysis!$B$7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Platform_Analysis!$A$8:$A$11</c:f>
              <c:strCache>
                <c:ptCount val="4"/>
                <c:pt idx="0">
                  <c:v>Instagram</c:v>
                </c:pt>
                <c:pt idx="1">
                  <c:v>Twitter</c:v>
                </c:pt>
                <c:pt idx="2">
                  <c:v>Facebook</c:v>
                </c:pt>
                <c:pt idx="3">
                  <c:v>Youtube</c:v>
                </c:pt>
              </c:strCache>
            </c:strRef>
          </c:cat>
          <c:val>
            <c:numRef>
              <c:f>Platform_Analysis!$B$8:$B$11</c:f>
              <c:numCache>
                <c:formatCode>General</c:formatCode>
                <c:ptCount val="4"/>
                <c:pt idx="0">
                  <c:v>285.78000000000003</c:v>
                </c:pt>
                <c:pt idx="1">
                  <c:v>282.79000000000002</c:v>
                </c:pt>
                <c:pt idx="2">
                  <c:v>282.43</c:v>
                </c:pt>
                <c:pt idx="3">
                  <c:v>277.94</c:v>
                </c:pt>
              </c:numCache>
            </c:numRef>
          </c:val>
          <c:extLst>
            <c:ext xmlns:c16="http://schemas.microsoft.com/office/drawing/2014/chart" uri="{C3380CC4-5D6E-409C-BE32-E72D297353CC}">
              <c16:uniqueId val="{00000000-B5FB-43B6-B32C-3F31E340EFA1}"/>
            </c:ext>
          </c:extLst>
        </c:ser>
        <c:dLbls>
          <c:dLblPos val="outEnd"/>
          <c:showLegendKey val="0"/>
          <c:showVal val="1"/>
          <c:showCatName val="0"/>
          <c:showSerName val="0"/>
          <c:showPercent val="0"/>
          <c:showBubbleSize val="0"/>
        </c:dLbls>
        <c:gapWidth val="219"/>
        <c:overlap val="-27"/>
        <c:axId val="1049464751"/>
        <c:axId val="1049465231"/>
      </c:barChart>
      <c:catAx>
        <c:axId val="10494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65231"/>
        <c:crosses val="autoZero"/>
        <c:auto val="1"/>
        <c:lblAlgn val="ctr"/>
        <c:lblOffset val="100"/>
        <c:noMultiLvlLbl val="0"/>
      </c:catAx>
      <c:valAx>
        <c:axId val="1049465231"/>
        <c:scaling>
          <c:orientation val="minMax"/>
        </c:scaling>
        <c:delete val="1"/>
        <c:axPos val="l"/>
        <c:numFmt formatCode="General" sourceLinked="1"/>
        <c:majorTickMark val="none"/>
        <c:minorTickMark val="none"/>
        <c:tickLblPos val="nextTo"/>
        <c:crossAx val="104946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[Myntra_Social_Media_Analytics.xlsx]Platform_Analysis!PivotTable12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Follower Growth_Rate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Platform_Analysis!$B$42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Platform_Analysis!$A$43:$A$46</c:f>
              <c:strCache>
                <c:ptCount val="4"/>
                <c:pt idx="0">
                  <c:v>Twitter</c:v>
                </c:pt>
                <c:pt idx="1">
                  <c:v>Youtube</c:v>
                </c:pt>
                <c:pt idx="2">
                  <c:v>Instagram</c:v>
                </c:pt>
                <c:pt idx="3">
                  <c:v>Facebook</c:v>
                </c:pt>
              </c:strCache>
            </c:strRef>
          </c:cat>
          <c:val>
            <c:numRef>
              <c:f>Platform_Analysis!$B$43:$B$46</c:f>
              <c:numCache>
                <c:formatCode>0.00%</c:formatCode>
                <c:ptCount val="4"/>
                <c:pt idx="0">
                  <c:v>9.2800256766213396E-3</c:v>
                </c:pt>
                <c:pt idx="1">
                  <c:v>9.021066631336009E-3</c:v>
                </c:pt>
                <c:pt idx="2">
                  <c:v>5.7625321264951823E-3</c:v>
                </c:pt>
                <c:pt idx="3">
                  <c:v>5.4649906832972654E-3</c:v>
                </c:pt>
              </c:numCache>
            </c:numRef>
          </c:val>
          <c:extLst>
            <c:ext xmlns:c16="http://schemas.microsoft.com/office/drawing/2014/chart" uri="{C3380CC4-5D6E-409C-BE32-E72D297353CC}">
              <c16:uniqueId val="{00000000-ABBA-42A4-B89F-B17F8E4E3E60}"/>
            </c:ext>
          </c:extLst>
        </c:ser>
        <c:dLbls>
          <c:dLblPos val="outEnd"/>
          <c:showLegendKey val="0"/>
          <c:showVal val="1"/>
          <c:showCatName val="0"/>
          <c:showSerName val="0"/>
          <c:showPercent val="0"/>
          <c:showBubbleSize val="0"/>
        </c:dLbls>
        <c:gapWidth val="219"/>
        <c:overlap val="-27"/>
        <c:axId val="1070229007"/>
        <c:axId val="765438991"/>
      </c:barChart>
      <c:catAx>
        <c:axId val="107022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38991"/>
        <c:crosses val="autoZero"/>
        <c:auto val="1"/>
        <c:lblAlgn val="ctr"/>
        <c:lblOffset val="100"/>
        <c:noMultiLvlLbl val="0"/>
      </c:catAx>
      <c:valAx>
        <c:axId val="765438991"/>
        <c:scaling>
          <c:orientation val="minMax"/>
        </c:scaling>
        <c:delete val="1"/>
        <c:axPos val="l"/>
        <c:numFmt formatCode="0.00%" sourceLinked="1"/>
        <c:majorTickMark val="none"/>
        <c:minorTickMark val="none"/>
        <c:tickLblPos val="nextTo"/>
        <c:crossAx val="107022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Platform_Analysis!$C$116</c:f>
              <c:strCache>
                <c:ptCount val="1"/>
                <c:pt idx="0">
                  <c:v>Total Ad_Spend</c:v>
                </c:pt>
              </c:strCache>
            </c:strRef>
          </c:tx>
          <c:spPr>
            <a:ln w="19050" cap="rnd">
              <a:noFill/>
              <a:round/>
            </a:ln>
            <a:effectLst/>
          </c:spPr>
          <c:marker>
            <c:symbol val="circle"/>
            <c:size val="5"/>
            <c:spPr>
              <a:solidFill>
                <a:schemeClr val="accent1"/>
              </a:solidFill>
              <a:ln w="9525">
                <a:solidFill>
                  <a:schemeClr val="accent1"/>
                </a:solidFill>
              </a:ln>
              <a:effectLst/>
            </c:spPr>
          </c:marker>
          <c:xVal>
            <c:numRef>
              <c:f>Platform_Analysis!$B$117:$B$129</c:f>
              <c:numCache>
                <c:formatCode>General</c:formatCode>
                <c:ptCount val="13"/>
                <c:pt idx="1">
                  <c:v>20.020000000000003</c:v>
                </c:pt>
                <c:pt idx="2">
                  <c:v>34.17</c:v>
                </c:pt>
                <c:pt idx="3">
                  <c:v>30.75</c:v>
                </c:pt>
                <c:pt idx="4">
                  <c:v>17.72</c:v>
                </c:pt>
                <c:pt idx="5">
                  <c:v>12.02</c:v>
                </c:pt>
                <c:pt idx="6">
                  <c:v>13.380000000000003</c:v>
                </c:pt>
                <c:pt idx="7">
                  <c:v>25.16</c:v>
                </c:pt>
                <c:pt idx="8">
                  <c:v>23.480000000000004</c:v>
                </c:pt>
                <c:pt idx="9">
                  <c:v>31.840000000000003</c:v>
                </c:pt>
                <c:pt idx="10">
                  <c:v>18.23</c:v>
                </c:pt>
                <c:pt idx="11">
                  <c:v>27.630000000000003</c:v>
                </c:pt>
                <c:pt idx="12">
                  <c:v>23.54</c:v>
                </c:pt>
              </c:numCache>
            </c:numRef>
          </c:xVal>
          <c:yVal>
            <c:numRef>
              <c:f>Platform_Analysis!$C$117:$C$129</c:f>
              <c:numCache>
                <c:formatCode>General</c:formatCode>
                <c:ptCount val="13"/>
                <c:pt idx="1">
                  <c:v>107617</c:v>
                </c:pt>
                <c:pt idx="2">
                  <c:v>104522</c:v>
                </c:pt>
                <c:pt idx="3">
                  <c:v>114199</c:v>
                </c:pt>
                <c:pt idx="4">
                  <c:v>81578</c:v>
                </c:pt>
                <c:pt idx="5">
                  <c:v>19715</c:v>
                </c:pt>
                <c:pt idx="6">
                  <c:v>77972</c:v>
                </c:pt>
                <c:pt idx="7">
                  <c:v>116861</c:v>
                </c:pt>
                <c:pt idx="8">
                  <c:v>99499</c:v>
                </c:pt>
                <c:pt idx="9">
                  <c:v>104039</c:v>
                </c:pt>
                <c:pt idx="10">
                  <c:v>125528</c:v>
                </c:pt>
                <c:pt idx="11">
                  <c:v>85961</c:v>
                </c:pt>
                <c:pt idx="12">
                  <c:v>191156</c:v>
                </c:pt>
              </c:numCache>
            </c:numRef>
          </c:yVal>
          <c:smooth val="0"/>
          <c:extLst>
            <c:ext xmlns:c16="http://schemas.microsoft.com/office/drawing/2014/chart" uri="{C3380CC4-5D6E-409C-BE32-E72D297353CC}">
              <c16:uniqueId val="{00000000-923A-4616-B30B-F95A7ACB9896}"/>
            </c:ext>
          </c:extLst>
        </c:ser>
        <c:dLbls>
          <c:showLegendKey val="0"/>
          <c:showVal val="0"/>
          <c:showCatName val="0"/>
          <c:showSerName val="0"/>
          <c:showPercent val="0"/>
          <c:showBubbleSize val="0"/>
        </c:dLbls>
        <c:axId val="170063535"/>
        <c:axId val="170064495"/>
      </c:scatterChart>
      <c:valAx>
        <c:axId val="170063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64495"/>
        <c:crosses val="autoZero"/>
        <c:crossBetween val="midCat"/>
      </c:valAx>
      <c:valAx>
        <c:axId val="17006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63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[Myntra_Social_Media_Analytics.xlsx]Hashtag_And_Content_Strategy!PivotTable1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Hashtag</a:t>
            </a:r>
            <a:r>
              <a:rPr lang="en-US" b="1" i="1" u="sng" baseline="0">
                <a:solidFill>
                  <a:schemeClr val="tx1"/>
                </a:solidFill>
              </a:rPr>
              <a:t> Frequency</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Hashtag_And_Content_Strategy!$B$8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Hashtag_And_Content_Strategy!$A$9:$A$13</c:f>
              <c:strCache>
                <c:ptCount val="5"/>
                <c:pt idx="0">
                  <c:v>#StyleWithMyntra</c:v>
                </c:pt>
                <c:pt idx="1">
                  <c:v>#MyntraSale</c:v>
                </c:pt>
                <c:pt idx="2">
                  <c:v>#MyntraTrend</c:v>
                </c:pt>
                <c:pt idx="3">
                  <c:v>#MyntraFashion</c:v>
                </c:pt>
                <c:pt idx="4">
                  <c:v>#FashionDeals</c:v>
                </c:pt>
              </c:strCache>
            </c:strRef>
          </c:cat>
          <c:val>
            <c:numRef>
              <c:f>Hashtag_And_Content_Strategy!$B$9:$B$13</c:f>
              <c:numCache>
                <c:formatCode>General</c:formatCode>
                <c:ptCount val="5"/>
                <c:pt idx="0">
                  <c:v>104</c:v>
                </c:pt>
                <c:pt idx="1">
                  <c:v>97</c:v>
                </c:pt>
                <c:pt idx="2">
                  <c:v>92</c:v>
                </c:pt>
                <c:pt idx="3">
                  <c:v>83</c:v>
                </c:pt>
                <c:pt idx="4">
                  <c:v>80</c:v>
                </c:pt>
              </c:numCache>
            </c:numRef>
          </c:val>
          <c:extLst>
            <c:ext xmlns:c16="http://schemas.microsoft.com/office/drawing/2014/chart" uri="{C3380CC4-5D6E-409C-BE32-E72D297353CC}">
              <c16:uniqueId val="{00000000-31A0-4FD5-99EA-30DDDA07AAC3}"/>
            </c:ext>
          </c:extLst>
        </c:ser>
        <c:dLbls>
          <c:dLblPos val="outEnd"/>
          <c:showLegendKey val="0"/>
          <c:showVal val="1"/>
          <c:showCatName val="0"/>
          <c:showSerName val="0"/>
          <c:showPercent val="0"/>
          <c:showBubbleSize val="0"/>
        </c:dLbls>
        <c:gapWidth val="219"/>
        <c:overlap val="-27"/>
        <c:axId val="260831935"/>
        <c:axId val="260825215"/>
      </c:barChart>
      <c:catAx>
        <c:axId val="2608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25215"/>
        <c:crosses val="autoZero"/>
        <c:auto val="1"/>
        <c:lblAlgn val="ctr"/>
        <c:lblOffset val="100"/>
        <c:noMultiLvlLbl val="0"/>
      </c:catAx>
      <c:valAx>
        <c:axId val="26082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3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[Myntra_Social_Media_Analytics.xlsx]Hashtag_And_Content_Strategy!PivotTable4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 Engagement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Hashtag_And_Content_Strategy!$B$40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Hashtag_And_Content_Strategy!$A$41:$A$46</c:f>
              <c:strCache>
                <c:ptCount val="6"/>
                <c:pt idx="0">
                  <c:v>Story</c:v>
                </c:pt>
                <c:pt idx="1">
                  <c:v>Video</c:v>
                </c:pt>
                <c:pt idx="2">
                  <c:v>Carousel</c:v>
                </c:pt>
                <c:pt idx="3">
                  <c:v>Reel</c:v>
                </c:pt>
                <c:pt idx="4">
                  <c:v>Image</c:v>
                </c:pt>
                <c:pt idx="5">
                  <c:v>Text</c:v>
                </c:pt>
              </c:strCache>
            </c:strRef>
          </c:cat>
          <c:val>
            <c:numRef>
              <c:f>Hashtag_And_Content_Strategy!$B$41:$B$46</c:f>
              <c:numCache>
                <c:formatCode>0%</c:formatCode>
                <c:ptCount val="6"/>
                <c:pt idx="0">
                  <c:v>0.1785702153871854</c:v>
                </c:pt>
                <c:pt idx="1">
                  <c:v>0.15418026710586519</c:v>
                </c:pt>
                <c:pt idx="2">
                  <c:v>0.15047050381891938</c:v>
                </c:pt>
                <c:pt idx="3">
                  <c:v>0.1478079643769159</c:v>
                </c:pt>
                <c:pt idx="4">
                  <c:v>0.134416762249528</c:v>
                </c:pt>
                <c:pt idx="5">
                  <c:v>0.11668494640892113</c:v>
                </c:pt>
              </c:numCache>
            </c:numRef>
          </c:val>
          <c:extLst>
            <c:ext xmlns:c16="http://schemas.microsoft.com/office/drawing/2014/chart" uri="{C3380CC4-5D6E-409C-BE32-E72D297353CC}">
              <c16:uniqueId val="{00000000-E100-427D-88E9-05FA3E16F7DA}"/>
            </c:ext>
          </c:extLst>
        </c:ser>
        <c:dLbls>
          <c:dLblPos val="outEnd"/>
          <c:showLegendKey val="0"/>
          <c:showVal val="1"/>
          <c:showCatName val="0"/>
          <c:showSerName val="0"/>
          <c:showPercent val="0"/>
          <c:showBubbleSize val="0"/>
        </c:dLbls>
        <c:gapWidth val="219"/>
        <c:overlap val="-27"/>
        <c:axId val="1071649663"/>
        <c:axId val="1071647743"/>
      </c:barChart>
      <c:catAx>
        <c:axId val="107164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47743"/>
        <c:crosses val="autoZero"/>
        <c:auto val="1"/>
        <c:lblAlgn val="ctr"/>
        <c:lblOffset val="100"/>
        <c:noMultiLvlLbl val="0"/>
      </c:catAx>
      <c:valAx>
        <c:axId val="10716477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4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[Myntra_Social_Media_Analytics.xlsx]Hashtag_And_Content_Strategy!PivotTable6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Average Engagement</a:t>
            </a:r>
          </a:p>
        </c:rich>
      </c:tx>
      <c:layout>
        <c:manualLayout>
          <c:xMode val="edge"/>
          <c:yMode val="edge"/>
          <c:x val="0.33138888888888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Hashtag_And_Content_Strategy!$B$71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Hashtag_And_Content_Strategy!$A$72:$A$76</c:f>
              <c:strCache>
                <c:ptCount val="5"/>
                <c:pt idx="0">
                  <c:v>#StyleWithMyntra</c:v>
                </c:pt>
                <c:pt idx="1">
                  <c:v>#MyntraSale</c:v>
                </c:pt>
                <c:pt idx="2">
                  <c:v>#MyntraFashion</c:v>
                </c:pt>
                <c:pt idx="3">
                  <c:v>#MyntraTrend</c:v>
                </c:pt>
                <c:pt idx="4">
                  <c:v>#FashionDeals</c:v>
                </c:pt>
              </c:strCache>
            </c:strRef>
          </c:cat>
          <c:val>
            <c:numRef>
              <c:f>Hashtag_And_Content_Strategy!$B$72:$B$76</c:f>
              <c:numCache>
                <c:formatCode>0%</c:formatCode>
                <c:ptCount val="5"/>
                <c:pt idx="0">
                  <c:v>0.15618194212592126</c:v>
                </c:pt>
                <c:pt idx="1">
                  <c:v>0.14917346050861874</c:v>
                </c:pt>
                <c:pt idx="2">
                  <c:v>0.14549346635859289</c:v>
                </c:pt>
                <c:pt idx="3">
                  <c:v>0.14353069934635873</c:v>
                </c:pt>
                <c:pt idx="4">
                  <c:v>0.13661098759977455</c:v>
                </c:pt>
              </c:numCache>
            </c:numRef>
          </c:val>
          <c:extLst>
            <c:ext xmlns:c16="http://schemas.microsoft.com/office/drawing/2014/chart" uri="{C3380CC4-5D6E-409C-BE32-E72D297353CC}">
              <c16:uniqueId val="{00000000-1725-4011-99C7-E26F35B273CA}"/>
            </c:ext>
          </c:extLst>
        </c:ser>
        <c:dLbls>
          <c:dLblPos val="outEnd"/>
          <c:showLegendKey val="0"/>
          <c:showVal val="1"/>
          <c:showCatName val="0"/>
          <c:showSerName val="0"/>
          <c:showPercent val="0"/>
          <c:showBubbleSize val="0"/>
        </c:dLbls>
        <c:gapWidth val="182"/>
        <c:axId val="1895772879"/>
        <c:axId val="1895775279"/>
      </c:barChart>
      <c:catAx>
        <c:axId val="18957728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75279"/>
        <c:crosses val="autoZero"/>
        <c:auto val="1"/>
        <c:lblAlgn val="ctr"/>
        <c:lblOffset val="100"/>
        <c:noMultiLvlLbl val="0"/>
      </c:catAx>
      <c:valAx>
        <c:axId val="1895775279"/>
        <c:scaling>
          <c:orientation val="minMax"/>
        </c:scaling>
        <c:delete val="1"/>
        <c:axPos val="t"/>
        <c:numFmt formatCode="0%" sourceLinked="1"/>
        <c:majorTickMark val="none"/>
        <c:minorTickMark val="none"/>
        <c:tickLblPos val="nextTo"/>
        <c:crossAx val="189577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Uplift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Campaign_Effectiveness!$D$21</c:f>
              <c:strCache>
                <c:ptCount val="1"/>
                <c:pt idx="0">
                  <c:v>Uplift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Campaign_Effectiveness!$D$22:$D$25</c:f>
              <c:numCache>
                <c:formatCode>0%</c:formatCode>
                <c:ptCount val="4"/>
                <c:pt idx="0">
                  <c:v>-9.9076983503534985E-2</c:v>
                </c:pt>
                <c:pt idx="1">
                  <c:v>0.20430965682362298</c:v>
                </c:pt>
                <c:pt idx="2">
                  <c:v>-0.11078255359594492</c:v>
                </c:pt>
                <c:pt idx="3">
                  <c:v>0.10094925583030556</c:v>
                </c:pt>
              </c:numCache>
            </c:numRef>
          </c:val>
          <c:extLst>
            <c:ext xmlns:c16="http://schemas.microsoft.com/office/drawing/2014/chart" uri="{C3380CC4-5D6E-409C-BE32-E72D297353CC}">
              <c16:uniqueId val="{00000000-EDFD-4D0D-B6D5-5CE75E5E7D81}"/>
            </c:ext>
          </c:extLst>
        </c:ser>
        <c:dLbls>
          <c:dLblPos val="outEnd"/>
          <c:showLegendKey val="0"/>
          <c:showVal val="1"/>
          <c:showCatName val="0"/>
          <c:showSerName val="0"/>
          <c:showPercent val="0"/>
          <c:showBubbleSize val="0"/>
        </c:dLbls>
        <c:gapWidth val="182"/>
        <c:axId val="1880721967"/>
        <c:axId val="1880715247"/>
      </c:barChart>
      <c:catAx>
        <c:axId val="1880721967"/>
        <c:scaling>
          <c:orientation val="minMax"/>
        </c:scaling>
        <c:delete val="1"/>
        <c:axPos val="l"/>
        <c:numFmt formatCode="General" sourceLinked="1"/>
        <c:majorTickMark val="none"/>
        <c:minorTickMark val="none"/>
        <c:tickLblPos val="nextTo"/>
        <c:crossAx val="1880715247"/>
        <c:crosses val="autoZero"/>
        <c:auto val="1"/>
        <c:lblAlgn val="ctr"/>
        <c:lblOffset val="100"/>
        <c:noMultiLvlLbl val="0"/>
      </c:catAx>
      <c:valAx>
        <c:axId val="1880715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Before</a:t>
                </a:r>
                <a:r>
                  <a:rPr lang="en-IN" baseline="0"/>
                  <a:t> vs During Campaign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721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[Myntra_Social_Media_Analytics.xlsx]Campaign_Effectiveness!PivotTable6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Aggregate ROI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Campaign_Effectiveness!$B$52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Campaign_Effectiveness!$A$53:$A$56</c:f>
              <c:strCache>
                <c:ptCount val="4"/>
                <c:pt idx="0">
                  <c:v>EndOfSeasonSale</c:v>
                </c:pt>
                <c:pt idx="1">
                  <c:v>FashionUpgrade</c:v>
                </c:pt>
                <c:pt idx="2">
                  <c:v>MyntraFestiveEdit</c:v>
                </c:pt>
                <c:pt idx="3">
                  <c:v>StyleRevolution</c:v>
                </c:pt>
              </c:strCache>
            </c:strRef>
          </c:cat>
          <c:val>
            <c:numRef>
              <c:f>Campaign_Effectiveness!$B$53:$B$56</c:f>
              <c:numCache>
                <c:formatCode>0.000000</c:formatCode>
                <c:ptCount val="4"/>
                <c:pt idx="0">
                  <c:v>2.9655174158682129E-4</c:v>
                </c:pt>
                <c:pt idx="1">
                  <c:v>2.3785768153348946E-4</c:v>
                </c:pt>
                <c:pt idx="2">
                  <c:v>2.2281161196857413E-4</c:v>
                </c:pt>
                <c:pt idx="3">
                  <c:v>2.2290308289167171E-4</c:v>
                </c:pt>
              </c:numCache>
            </c:numRef>
          </c:val>
          <c:extLst>
            <c:ext xmlns:c16="http://schemas.microsoft.com/office/drawing/2014/chart" uri="{C3380CC4-5D6E-409C-BE32-E72D297353CC}">
              <c16:uniqueId val="{00000000-95C0-4147-91A1-9664A7CA07E7}"/>
            </c:ext>
          </c:extLst>
        </c:ser>
        <c:dLbls>
          <c:dLblPos val="outEnd"/>
          <c:showLegendKey val="0"/>
          <c:showVal val="1"/>
          <c:showCatName val="0"/>
          <c:showSerName val="0"/>
          <c:showPercent val="0"/>
          <c:showBubbleSize val="0"/>
        </c:dLbls>
        <c:gapWidth val="219"/>
        <c:overlap val="-27"/>
        <c:axId val="1067621071"/>
        <c:axId val="1067620591"/>
      </c:barChart>
      <c:catAx>
        <c:axId val="106762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20591"/>
        <c:crosses val="autoZero"/>
        <c:auto val="1"/>
        <c:lblAlgn val="ctr"/>
        <c:lblOffset val="100"/>
        <c:noMultiLvlLbl val="0"/>
      </c:catAx>
      <c:valAx>
        <c:axId val="1067620591"/>
        <c:scaling>
          <c:orientation val="minMax"/>
        </c:scaling>
        <c:delete val="1"/>
        <c:axPos val="l"/>
        <c:numFmt formatCode="0.000000" sourceLinked="1"/>
        <c:majorTickMark val="none"/>
        <c:minorTickMark val="none"/>
        <c:tickLblPos val="nextTo"/>
        <c:crossAx val="106762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[Myntra_Social_Media_Analytics.xlsx]Campaign_Effectiveness!PivotTable7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Net Follower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Campaign_Effectiveness!$B$88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Campaign_Effectiveness!$A$89:$A$92</c:f>
              <c:strCache>
                <c:ptCount val="4"/>
                <c:pt idx="0">
                  <c:v>StyleRevolution</c:v>
                </c:pt>
                <c:pt idx="1">
                  <c:v>MyntraFestiveEdit</c:v>
                </c:pt>
                <c:pt idx="2">
                  <c:v>FashionUpgrade</c:v>
                </c:pt>
                <c:pt idx="3">
                  <c:v>EndOfSeasonSale</c:v>
                </c:pt>
              </c:strCache>
            </c:strRef>
          </c:cat>
          <c:val>
            <c:numRef>
              <c:f>Campaign_Effectiveness!$B$89:$B$92</c:f>
              <c:numCache>
                <c:formatCode>_ * #,##0_ ;_ * \-#,##0_ ;_ * "-"??_ ;_ @_ </c:formatCode>
                <c:ptCount val="4"/>
                <c:pt idx="0">
                  <c:v>36294</c:v>
                </c:pt>
                <c:pt idx="1">
                  <c:v>28088</c:v>
                </c:pt>
                <c:pt idx="2">
                  <c:v>20680</c:v>
                </c:pt>
                <c:pt idx="3">
                  <c:v>14745</c:v>
                </c:pt>
              </c:numCache>
            </c:numRef>
          </c:val>
          <c:extLst>
            <c:ext xmlns:c16="http://schemas.microsoft.com/office/drawing/2014/chart" uri="{C3380CC4-5D6E-409C-BE32-E72D297353CC}">
              <c16:uniqueId val="{00000000-9E6B-4807-8A2D-CB6C5D7E3941}"/>
            </c:ext>
          </c:extLst>
        </c:ser>
        <c:dLbls>
          <c:dLblPos val="outEnd"/>
          <c:showLegendKey val="0"/>
          <c:showVal val="1"/>
          <c:showCatName val="0"/>
          <c:showSerName val="0"/>
          <c:showPercent val="0"/>
          <c:showBubbleSize val="0"/>
        </c:dLbls>
        <c:gapWidth val="182"/>
        <c:axId val="263853759"/>
        <c:axId val="263855199"/>
      </c:barChart>
      <c:catAx>
        <c:axId val="2638537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55199"/>
        <c:crosses val="autoZero"/>
        <c:auto val="1"/>
        <c:lblAlgn val="ctr"/>
        <c:lblOffset val="100"/>
        <c:noMultiLvlLbl val="0"/>
      </c:catAx>
      <c:valAx>
        <c:axId val="263855199"/>
        <c:scaling>
          <c:orientation val="minMax"/>
        </c:scaling>
        <c:delete val="1"/>
        <c:axPos val="t"/>
        <c:numFmt formatCode="_ * #,##0_ ;_ * \-#,##0_ ;_ * &quot;-&quot;??_ ;_ @_ " sourceLinked="1"/>
        <c:majorTickMark val="none"/>
        <c:minorTickMark val="none"/>
        <c:tickLblPos val="nextTo"/>
        <c:crossAx val="26385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[Myntra_Social_Media_Analytics.xlsx]Follower_Retention_And_Loyality!PivotTable8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Net</a:t>
            </a:r>
            <a:r>
              <a:rPr lang="en-US" b="1" i="1" u="sng" baseline="0">
                <a:solidFill>
                  <a:schemeClr val="tx1"/>
                </a:solidFill>
              </a:rPr>
              <a:t> Follower Growth</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31637001966392E-2"/>
          <c:y val="0.17171296296296296"/>
          <c:w val="0.94648359369066004"/>
          <c:h val="0.51752843394575676"/>
        </c:manualLayout>
      </c:layout>
      <c:lineChart>
        <c:grouping val="standard"/>
        <c:varyColors val="0"/>
        <c:ser>
          <c:idx val="0"/>
          <c:order val="0"/>
          <c:tx>
            <c:strRef>
              <c:f>Follower_Retention_And_Loyality!$C$209:$C$210</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22225" cap="rnd">
                <a:solidFill>
                  <a:schemeClr val="tx2">
                    <a:lumMod val="50000"/>
                    <a:lumOff val="50000"/>
                  </a:schemeClr>
                </a:solidFill>
                <a:prstDash val="sysDot"/>
              </a:ln>
              <a:effectLst/>
            </c:spPr>
            <c:trendlineType val="movingAvg"/>
            <c:period val="3"/>
            <c:dispRSqr val="0"/>
            <c:dispEq val="0"/>
          </c:trendline>
          <c:cat>
            <c:multiLvlStrRef>
              <c:f>Follower_Retention_And_Loyality!$A$211:$B$260</c:f>
              <c:multiLvlStrCache>
                <c:ptCount val="50"/>
                <c:lvl>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lvl>
                <c:lvl>
                  <c:pt idx="0">
                    <c:v>Facebook</c:v>
                  </c:pt>
                </c:lvl>
              </c:multiLvlStrCache>
            </c:multiLvlStrRef>
          </c:cat>
          <c:val>
            <c:numRef>
              <c:f>Follower_Retention_And_Loyality!$C$211:$C$260</c:f>
              <c:numCache>
                <c:formatCode>General</c:formatCode>
                <c:ptCount val="5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numCache>
            </c:numRef>
          </c:val>
          <c:smooth val="0"/>
          <c:extLst>
            <c:ext xmlns:c16="http://schemas.microsoft.com/office/drawing/2014/chart" uri="{C3380CC4-5D6E-409C-BE32-E72D297353CC}">
              <c16:uniqueId val="{00000000-7054-4609-A36C-A0FDD36F49FF}"/>
            </c:ext>
          </c:extLst>
        </c:ser>
        <c:dLbls>
          <c:showLegendKey val="0"/>
          <c:showVal val="0"/>
          <c:showCatName val="0"/>
          <c:showSerName val="0"/>
          <c:showPercent val="0"/>
          <c:showBubbleSize val="0"/>
        </c:dLbls>
        <c:smooth val="0"/>
        <c:axId val="414707759"/>
        <c:axId val="414705839"/>
      </c:lineChart>
      <c:catAx>
        <c:axId val="41470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05839"/>
        <c:crosses val="autoZero"/>
        <c:auto val="1"/>
        <c:lblAlgn val="ctr"/>
        <c:lblOffset val="100"/>
        <c:noMultiLvlLbl val="0"/>
      </c:catAx>
      <c:valAx>
        <c:axId val="414705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07759"/>
        <c:crosses val="autoZero"/>
        <c:crossBetween val="between"/>
      </c:valAx>
      <c:spPr>
        <a:noFill/>
        <a:ln>
          <a:noFill/>
        </a:ln>
        <a:effectLst/>
      </c:spPr>
    </c:plotArea>
    <c:legend>
      <c:legendPos val="r"/>
      <c:legendEntry>
        <c:idx val="1"/>
        <c:delete val="1"/>
      </c:legendEntry>
      <c:layout>
        <c:manualLayout>
          <c:xMode val="edge"/>
          <c:yMode val="edge"/>
          <c:x val="0.72688168299702083"/>
          <c:y val="4.1903616214639819E-3"/>
          <c:w val="0.17530962062766586"/>
          <c:h val="0.15972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Follower_Retention_And_Loyality!$G$43</c:f>
              <c:strCache>
                <c:ptCount val="1"/>
                <c:pt idx="0">
                  <c:v>Total Ad_Spend</c:v>
                </c:pt>
              </c:strCache>
            </c:strRef>
          </c:tx>
          <c:spPr>
            <a:ln w="19050" cap="rnd">
              <a:noFill/>
              <a:round/>
            </a:ln>
            <a:effectLst/>
          </c:spPr>
          <c:marker>
            <c:symbol val="circle"/>
            <c:size val="5"/>
            <c:spPr>
              <a:solidFill>
                <a:schemeClr val="accent1"/>
              </a:solidFill>
              <a:ln w="9525">
                <a:solidFill>
                  <a:schemeClr val="accent1"/>
                </a:solidFill>
              </a:ln>
              <a:effectLst/>
            </c:spPr>
          </c:marker>
          <c:xVal>
            <c:numRef>
              <c:f>Follower_Retention_And_Loyality!$F$44:$F$56</c:f>
              <c:numCache>
                <c:formatCode>General</c:formatCode>
                <c:ptCount val="13"/>
                <c:pt idx="0">
                  <c:v>0</c:v>
                </c:pt>
                <c:pt idx="1">
                  <c:v>2243</c:v>
                </c:pt>
                <c:pt idx="2">
                  <c:v>4957</c:v>
                </c:pt>
                <c:pt idx="3">
                  <c:v>2893</c:v>
                </c:pt>
                <c:pt idx="4">
                  <c:v>2352</c:v>
                </c:pt>
                <c:pt idx="5">
                  <c:v>746</c:v>
                </c:pt>
                <c:pt idx="6">
                  <c:v>5337</c:v>
                </c:pt>
                <c:pt idx="7">
                  <c:v>852</c:v>
                </c:pt>
                <c:pt idx="8">
                  <c:v>2232</c:v>
                </c:pt>
                <c:pt idx="9">
                  <c:v>2373</c:v>
                </c:pt>
                <c:pt idx="10">
                  <c:v>2772</c:v>
                </c:pt>
                <c:pt idx="11">
                  <c:v>1838</c:v>
                </c:pt>
                <c:pt idx="12">
                  <c:v>6962</c:v>
                </c:pt>
              </c:numCache>
            </c:numRef>
          </c:xVal>
          <c:yVal>
            <c:numRef>
              <c:f>Follower_Retention_And_Loyality!$G$44:$G$56</c:f>
              <c:numCache>
                <c:formatCode>General</c:formatCode>
                <c:ptCount val="13"/>
                <c:pt idx="0">
                  <c:v>0</c:v>
                </c:pt>
                <c:pt idx="1">
                  <c:v>108072</c:v>
                </c:pt>
                <c:pt idx="2">
                  <c:v>118378</c:v>
                </c:pt>
                <c:pt idx="3">
                  <c:v>116122</c:v>
                </c:pt>
                <c:pt idx="4">
                  <c:v>84980</c:v>
                </c:pt>
                <c:pt idx="5">
                  <c:v>97819</c:v>
                </c:pt>
                <c:pt idx="6">
                  <c:v>94795</c:v>
                </c:pt>
                <c:pt idx="7">
                  <c:v>155243</c:v>
                </c:pt>
                <c:pt idx="8">
                  <c:v>105486</c:v>
                </c:pt>
                <c:pt idx="9">
                  <c:v>126540</c:v>
                </c:pt>
                <c:pt idx="10">
                  <c:v>124159</c:v>
                </c:pt>
                <c:pt idx="11">
                  <c:v>111943</c:v>
                </c:pt>
                <c:pt idx="12">
                  <c:v>136002</c:v>
                </c:pt>
              </c:numCache>
            </c:numRef>
          </c:yVal>
          <c:smooth val="0"/>
          <c:extLst>
            <c:ext xmlns:c16="http://schemas.microsoft.com/office/drawing/2014/chart" uri="{C3380CC4-5D6E-409C-BE32-E72D297353CC}">
              <c16:uniqueId val="{00000000-6E88-4ACF-B9A2-E0A26B47A472}"/>
            </c:ext>
          </c:extLst>
        </c:ser>
        <c:dLbls>
          <c:showLegendKey val="0"/>
          <c:showVal val="0"/>
          <c:showCatName val="0"/>
          <c:showSerName val="0"/>
          <c:showPercent val="0"/>
          <c:showBubbleSize val="0"/>
        </c:dLbls>
        <c:axId val="1068298159"/>
        <c:axId val="1068296239"/>
      </c:scatterChart>
      <c:valAx>
        <c:axId val="106829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296239"/>
        <c:crosses val="autoZero"/>
        <c:crossBetween val="midCat"/>
      </c:valAx>
      <c:valAx>
        <c:axId val="106829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298159"/>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oneCellAnchor>
    <xdr:from>
      <xdr:col>16</xdr:col>
      <xdr:colOff>91440</xdr:colOff>
      <xdr:row>8</xdr:row>
      <xdr:rowOff>15240</xdr:rowOff>
    </xdr:from>
    <xdr:ext cx="2811780" cy="3131820"/>
    <xdr:sp macro="" textlink="">
      <xdr:nvSpPr>
        <xdr:cNvPr id="2" name="TextBox 1">
          <a:extLst>
            <a:ext uri="{FF2B5EF4-FFF2-40B4-BE49-F238E27FC236}">
              <a16:creationId xmlns:a16="http://schemas.microsoft.com/office/drawing/2014/main" id="{420B477F-1E88-21C5-5ABC-4FCF81061065}"/>
            </a:ext>
          </a:extLst>
        </xdr:cNvPr>
        <xdr:cNvSpPr txBox="1"/>
      </xdr:nvSpPr>
      <xdr:spPr>
        <a:xfrm>
          <a:off x="17480280" y="1478280"/>
          <a:ext cx="2811780" cy="31318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t>Task 1</a:t>
          </a:r>
          <a:r>
            <a:rPr lang="en-IN" sz="1100" b="1" baseline="0"/>
            <a:t> </a:t>
          </a:r>
          <a:r>
            <a:rPr lang="en-IN" sz="1100" baseline="0"/>
            <a:t>- </a:t>
          </a:r>
          <a:br>
            <a:rPr lang="en-IN" sz="1100" baseline="0"/>
          </a:br>
          <a:r>
            <a:rPr lang="en-IN" sz="1100" b="0" baseline="0"/>
            <a:t>1. </a:t>
          </a:r>
          <a:r>
            <a:rPr lang="en-IN" b="0"/>
            <a:t>Removed duplicate post entries using Data → Remove Duplicates. </a:t>
          </a:r>
        </a:p>
        <a:p>
          <a:r>
            <a:rPr lang="en-IN" b="0"/>
            <a:t>2. Loaded the datasets into Power Query Editor for structured data cleaning. Created</a:t>
          </a:r>
          <a:r>
            <a:rPr lang="en-IN" b="0" baseline="0"/>
            <a:t> separate file for each data set, with extension clean to keep main data safe.</a:t>
          </a:r>
          <a:endParaRPr lang="en-IN" b="0"/>
        </a:p>
        <a:p>
          <a:r>
            <a:rPr lang="en-IN" b="0"/>
            <a:t>3. Standardized the date format and verified correct data types for all columns (e.g., numeric fields as whole numbers, hashtags as text) in power</a:t>
          </a:r>
          <a:r>
            <a:rPr lang="en-IN" b="0" baseline="0"/>
            <a:t> query editor</a:t>
          </a:r>
          <a:r>
            <a:rPr lang="en-IN" b="0"/>
            <a:t>.</a:t>
          </a:r>
        </a:p>
        <a:p>
          <a:r>
            <a:rPr lang="en-IN" b="0"/>
            <a:t>4. Created a separate sheet</a:t>
          </a:r>
          <a:r>
            <a:rPr lang="en-IN" b="0" baseline="0"/>
            <a:t> for </a:t>
          </a:r>
          <a:r>
            <a:rPr lang="en-IN" sz="1100" b="0">
              <a:solidFill>
                <a:schemeClr val="tx1"/>
              </a:solidFill>
              <a:latin typeface="+mn-lt"/>
              <a:ea typeface="+mn-ea"/>
              <a:cs typeface="+mn-cs"/>
            </a:rPr>
            <a:t>Hash_Tag_Data_Clean</a:t>
          </a:r>
          <a:r>
            <a:rPr lang="en-IN" b="0"/>
            <a:t> using Power Query and split hashtags into row-level format for analysis, accepting </a:t>
          </a:r>
          <a:r>
            <a:rPr lang="en-IN" sz="1100" b="0">
              <a:solidFill>
                <a:schemeClr val="tx1"/>
              </a:solidFill>
              <a:latin typeface="+mn-lt"/>
              <a:ea typeface="+mn-ea"/>
              <a:cs typeface="+mn-cs"/>
            </a:rPr>
            <a:t>Post_ID</a:t>
          </a:r>
          <a:r>
            <a:rPr lang="en-IN" b="0"/>
            <a:t> duplication for hashtag-level insights.</a:t>
          </a:r>
        </a:p>
        <a:p>
          <a:r>
            <a:rPr lang="en-IN" sz="1100" b="1" baseline="0"/>
            <a:t>All the steps for Task 1 are mentioned here.</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12</xdr:col>
      <xdr:colOff>228600</xdr:colOff>
      <xdr:row>0</xdr:row>
      <xdr:rowOff>99061</xdr:rowOff>
    </xdr:from>
    <xdr:ext cx="2842260" cy="3009899"/>
    <xdr:sp macro="" textlink="">
      <xdr:nvSpPr>
        <xdr:cNvPr id="2" name="TextBox 1">
          <a:extLst>
            <a:ext uri="{FF2B5EF4-FFF2-40B4-BE49-F238E27FC236}">
              <a16:creationId xmlns:a16="http://schemas.microsoft.com/office/drawing/2014/main" id="{337CD4C3-2BFE-3F13-2468-75379D19CE69}"/>
            </a:ext>
          </a:extLst>
        </xdr:cNvPr>
        <xdr:cNvSpPr txBox="1"/>
      </xdr:nvSpPr>
      <xdr:spPr>
        <a:xfrm>
          <a:off x="13251180" y="99061"/>
          <a:ext cx="2842260" cy="30098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1</a:t>
          </a:r>
          <a:r>
            <a:rPr lang="en-IN" sz="1100" b="1" baseline="0">
              <a:solidFill>
                <a:schemeClr val="tx1"/>
              </a:solidFill>
              <a:effectLst/>
              <a:latin typeface="+mn-lt"/>
              <a:ea typeface="+mn-ea"/>
              <a:cs typeface="+mn-cs"/>
            </a:rPr>
            <a:t> </a:t>
          </a:r>
          <a:r>
            <a:rPr lang="en-IN" sz="1100" baseline="0">
              <a:solidFill>
                <a:schemeClr val="tx1"/>
              </a:solidFill>
              <a:effectLst/>
              <a:latin typeface="+mn-lt"/>
              <a:ea typeface="+mn-ea"/>
              <a:cs typeface="+mn-cs"/>
            </a:rPr>
            <a:t>- </a:t>
          </a:r>
          <a:br>
            <a:rPr lang="en-IN" sz="1100" baseline="0">
              <a:solidFill>
                <a:schemeClr val="tx1"/>
              </a:solidFill>
              <a:effectLst/>
              <a:latin typeface="+mn-lt"/>
              <a:ea typeface="+mn-ea"/>
              <a:cs typeface="+mn-cs"/>
            </a:rPr>
          </a:br>
          <a:r>
            <a:rPr lang="en-IN" sz="1100" b="0" baseline="0">
              <a:solidFill>
                <a:schemeClr val="tx1"/>
              </a:solidFill>
              <a:effectLst/>
              <a:latin typeface="+mn-lt"/>
              <a:ea typeface="+mn-ea"/>
              <a:cs typeface="+mn-cs"/>
            </a:rPr>
            <a:t>1. </a:t>
          </a:r>
          <a:r>
            <a:rPr lang="en-IN" sz="1100" b="0">
              <a:solidFill>
                <a:schemeClr val="tx1"/>
              </a:solidFill>
              <a:effectLst/>
              <a:latin typeface="+mn-lt"/>
              <a:ea typeface="+mn-ea"/>
              <a:cs typeface="+mn-cs"/>
            </a:rPr>
            <a:t>Removed duplicate post entries using Data → Remove Duplicates. </a:t>
          </a:r>
          <a:endParaRPr lang="en-IN">
            <a:effectLst/>
          </a:endParaRPr>
        </a:p>
        <a:p>
          <a:r>
            <a:rPr lang="en-IN" sz="1100" b="0">
              <a:solidFill>
                <a:schemeClr val="tx1"/>
              </a:solidFill>
              <a:effectLst/>
              <a:latin typeface="+mn-lt"/>
              <a:ea typeface="+mn-ea"/>
              <a:cs typeface="+mn-cs"/>
            </a:rPr>
            <a:t>2. Loaded the datasets into Power Query Editor for structured data cleaning. Created</a:t>
          </a:r>
          <a:r>
            <a:rPr lang="en-IN" sz="1100" b="0" baseline="0">
              <a:solidFill>
                <a:schemeClr val="tx1"/>
              </a:solidFill>
              <a:effectLst/>
              <a:latin typeface="+mn-lt"/>
              <a:ea typeface="+mn-ea"/>
              <a:cs typeface="+mn-cs"/>
            </a:rPr>
            <a:t> separate file for each data set, with extension clean to keep main data safe.</a:t>
          </a:r>
          <a:endParaRPr lang="en-IN">
            <a:effectLst/>
          </a:endParaRPr>
        </a:p>
        <a:p>
          <a:r>
            <a:rPr lang="en-IN" sz="1100" b="0">
              <a:solidFill>
                <a:schemeClr val="tx1"/>
              </a:solidFill>
              <a:effectLst/>
              <a:latin typeface="+mn-lt"/>
              <a:ea typeface="+mn-ea"/>
              <a:cs typeface="+mn-cs"/>
            </a:rPr>
            <a:t>3. Standardized the date format and verified correct data types for all columns (e.g., numeric fields as whole numbers, hashtags as text) in power</a:t>
          </a:r>
          <a:r>
            <a:rPr lang="en-IN" sz="1100" b="0" baseline="0">
              <a:solidFill>
                <a:schemeClr val="tx1"/>
              </a:solidFill>
              <a:effectLst/>
              <a:latin typeface="+mn-lt"/>
              <a:ea typeface="+mn-ea"/>
              <a:cs typeface="+mn-cs"/>
            </a:rPr>
            <a:t> query editor</a:t>
          </a:r>
          <a:r>
            <a:rPr lang="en-IN" sz="1100" b="0">
              <a:solidFill>
                <a:schemeClr val="tx1"/>
              </a:solidFill>
              <a:effectLst/>
              <a:latin typeface="+mn-lt"/>
              <a:ea typeface="+mn-ea"/>
              <a:cs typeface="+mn-cs"/>
            </a:rPr>
            <a:t>.</a:t>
          </a:r>
          <a:endParaRPr lang="en-IN">
            <a:effectLst/>
          </a:endParaRPr>
        </a:p>
        <a:p>
          <a:r>
            <a:rPr lang="en-IN" sz="1100" b="0">
              <a:solidFill>
                <a:schemeClr val="tx1"/>
              </a:solidFill>
              <a:effectLst/>
              <a:latin typeface="+mn-lt"/>
              <a:ea typeface="+mn-ea"/>
              <a:cs typeface="+mn-cs"/>
            </a:rPr>
            <a:t>4. Created a separate sheet</a:t>
          </a:r>
          <a:r>
            <a:rPr lang="en-IN" sz="1100" b="0" baseline="0">
              <a:solidFill>
                <a:schemeClr val="tx1"/>
              </a:solidFill>
              <a:effectLst/>
              <a:latin typeface="+mn-lt"/>
              <a:ea typeface="+mn-ea"/>
              <a:cs typeface="+mn-cs"/>
            </a:rPr>
            <a:t> for </a:t>
          </a:r>
          <a:r>
            <a:rPr lang="en-IN" sz="1100" b="0">
              <a:solidFill>
                <a:schemeClr val="tx1"/>
              </a:solidFill>
              <a:effectLst/>
              <a:latin typeface="+mn-lt"/>
              <a:ea typeface="+mn-ea"/>
              <a:cs typeface="+mn-cs"/>
            </a:rPr>
            <a:t>Hash_Tag_Data_Clean using Power Query and split hashtags into row-level format for analysis, accepting Post_ID duplication for hashtag-level insights.</a:t>
          </a:r>
          <a:endParaRPr lang="en-IN">
            <a:effectLst/>
          </a:endParaRPr>
        </a:p>
        <a:p>
          <a:r>
            <a:rPr lang="en-IN" sz="1100" b="1" baseline="0">
              <a:solidFill>
                <a:schemeClr val="tx1"/>
              </a:solidFill>
              <a:effectLst/>
              <a:latin typeface="+mn-lt"/>
              <a:ea typeface="+mn-ea"/>
              <a:cs typeface="+mn-cs"/>
            </a:rPr>
            <a:t>All the steps for Task 1 are mentioned here. </a:t>
          </a:r>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8</xdr:col>
      <xdr:colOff>190500</xdr:colOff>
      <xdr:row>4</xdr:row>
      <xdr:rowOff>68580</xdr:rowOff>
    </xdr:from>
    <xdr:ext cx="3855720" cy="264560"/>
    <xdr:sp macro="" textlink="">
      <xdr:nvSpPr>
        <xdr:cNvPr id="2" name="TextBox 1">
          <a:extLst>
            <a:ext uri="{FF2B5EF4-FFF2-40B4-BE49-F238E27FC236}">
              <a16:creationId xmlns:a16="http://schemas.microsoft.com/office/drawing/2014/main" id="{28835FC7-F199-788A-2FD3-4EFF90CFD2CC}"/>
            </a:ext>
          </a:extLst>
        </xdr:cNvPr>
        <xdr:cNvSpPr txBox="1"/>
      </xdr:nvSpPr>
      <xdr:spPr>
        <a:xfrm>
          <a:off x="8077200" y="800100"/>
          <a:ext cx="38557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7</xdr:col>
      <xdr:colOff>502920</xdr:colOff>
      <xdr:row>1</xdr:row>
      <xdr:rowOff>22860</xdr:rowOff>
    </xdr:from>
    <xdr:ext cx="3970020" cy="2369820"/>
    <xdr:sp macro="" textlink="">
      <xdr:nvSpPr>
        <xdr:cNvPr id="4" name="TextBox 3">
          <a:extLst>
            <a:ext uri="{FF2B5EF4-FFF2-40B4-BE49-F238E27FC236}">
              <a16:creationId xmlns:a16="http://schemas.microsoft.com/office/drawing/2014/main" id="{6BA7826A-9E25-BC9C-032E-AD2BAFD1E561}"/>
            </a:ext>
          </a:extLst>
        </xdr:cNvPr>
        <xdr:cNvSpPr txBox="1"/>
      </xdr:nvSpPr>
      <xdr:spPr>
        <a:xfrm>
          <a:off x="7780020" y="205740"/>
          <a:ext cx="3970020" cy="23698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1</a:t>
          </a:r>
          <a:r>
            <a:rPr lang="en-IN" sz="1100" b="1" baseline="0">
              <a:solidFill>
                <a:schemeClr val="tx1"/>
              </a:solidFill>
              <a:effectLst/>
              <a:latin typeface="+mn-lt"/>
              <a:ea typeface="+mn-ea"/>
              <a:cs typeface="+mn-cs"/>
            </a:rPr>
            <a:t> </a:t>
          </a:r>
          <a:r>
            <a:rPr lang="en-IN" sz="1100" baseline="0">
              <a:solidFill>
                <a:schemeClr val="tx1"/>
              </a:solidFill>
              <a:effectLst/>
              <a:latin typeface="+mn-lt"/>
              <a:ea typeface="+mn-ea"/>
              <a:cs typeface="+mn-cs"/>
            </a:rPr>
            <a:t>- </a:t>
          </a:r>
          <a:br>
            <a:rPr lang="en-IN" sz="1100" baseline="0">
              <a:solidFill>
                <a:schemeClr val="tx1"/>
              </a:solidFill>
              <a:effectLst/>
              <a:latin typeface="+mn-lt"/>
              <a:ea typeface="+mn-ea"/>
              <a:cs typeface="+mn-cs"/>
            </a:rPr>
          </a:br>
          <a:r>
            <a:rPr lang="en-IN" sz="1100" b="0" baseline="0">
              <a:solidFill>
                <a:schemeClr val="tx1"/>
              </a:solidFill>
              <a:effectLst/>
              <a:latin typeface="+mn-lt"/>
              <a:ea typeface="+mn-ea"/>
              <a:cs typeface="+mn-cs"/>
            </a:rPr>
            <a:t>1. </a:t>
          </a:r>
          <a:r>
            <a:rPr lang="en-IN" sz="1100" b="0">
              <a:solidFill>
                <a:schemeClr val="tx1"/>
              </a:solidFill>
              <a:effectLst/>
              <a:latin typeface="+mn-lt"/>
              <a:ea typeface="+mn-ea"/>
              <a:cs typeface="+mn-cs"/>
            </a:rPr>
            <a:t>Removed duplicate post entries using Data → Remove Duplicates. </a:t>
          </a:r>
          <a:endParaRPr lang="en-IN">
            <a:effectLst/>
          </a:endParaRPr>
        </a:p>
        <a:p>
          <a:r>
            <a:rPr lang="en-IN" sz="1100" b="0">
              <a:solidFill>
                <a:schemeClr val="tx1"/>
              </a:solidFill>
              <a:effectLst/>
              <a:latin typeface="+mn-lt"/>
              <a:ea typeface="+mn-ea"/>
              <a:cs typeface="+mn-cs"/>
            </a:rPr>
            <a:t>2. Loaded the datasets into Power Query Editor for structured data cleaning. Created</a:t>
          </a:r>
          <a:r>
            <a:rPr lang="en-IN" sz="1100" b="0" baseline="0">
              <a:solidFill>
                <a:schemeClr val="tx1"/>
              </a:solidFill>
              <a:effectLst/>
              <a:latin typeface="+mn-lt"/>
              <a:ea typeface="+mn-ea"/>
              <a:cs typeface="+mn-cs"/>
            </a:rPr>
            <a:t> separate file for each data set, with extension clean to keep main data safe.</a:t>
          </a:r>
          <a:endParaRPr lang="en-IN">
            <a:effectLst/>
          </a:endParaRPr>
        </a:p>
        <a:p>
          <a:r>
            <a:rPr lang="en-IN" sz="1100" b="0">
              <a:solidFill>
                <a:schemeClr val="tx1"/>
              </a:solidFill>
              <a:effectLst/>
              <a:latin typeface="+mn-lt"/>
              <a:ea typeface="+mn-ea"/>
              <a:cs typeface="+mn-cs"/>
            </a:rPr>
            <a:t>3. Standardized the date format and verified correct data types for all columns (e.g., numeric fields as whole numbers, hashtags as text) in power</a:t>
          </a:r>
          <a:r>
            <a:rPr lang="en-IN" sz="1100" b="0" baseline="0">
              <a:solidFill>
                <a:schemeClr val="tx1"/>
              </a:solidFill>
              <a:effectLst/>
              <a:latin typeface="+mn-lt"/>
              <a:ea typeface="+mn-ea"/>
              <a:cs typeface="+mn-cs"/>
            </a:rPr>
            <a:t> query editor</a:t>
          </a:r>
          <a:r>
            <a:rPr lang="en-IN" sz="1100" b="0">
              <a:solidFill>
                <a:schemeClr val="tx1"/>
              </a:solidFill>
              <a:effectLst/>
              <a:latin typeface="+mn-lt"/>
              <a:ea typeface="+mn-ea"/>
              <a:cs typeface="+mn-cs"/>
            </a:rPr>
            <a:t>.</a:t>
          </a:r>
          <a:endParaRPr lang="en-IN">
            <a:effectLst/>
          </a:endParaRPr>
        </a:p>
        <a:p>
          <a:r>
            <a:rPr lang="en-IN" sz="1100" b="0">
              <a:solidFill>
                <a:schemeClr val="tx1"/>
              </a:solidFill>
              <a:effectLst/>
              <a:latin typeface="+mn-lt"/>
              <a:ea typeface="+mn-ea"/>
              <a:cs typeface="+mn-cs"/>
            </a:rPr>
            <a:t>4. Created a separate sheet</a:t>
          </a:r>
          <a:r>
            <a:rPr lang="en-IN" sz="1100" b="0" baseline="0">
              <a:solidFill>
                <a:schemeClr val="tx1"/>
              </a:solidFill>
              <a:effectLst/>
              <a:latin typeface="+mn-lt"/>
              <a:ea typeface="+mn-ea"/>
              <a:cs typeface="+mn-cs"/>
            </a:rPr>
            <a:t> for </a:t>
          </a:r>
          <a:r>
            <a:rPr lang="en-IN" sz="1100" b="0">
              <a:solidFill>
                <a:schemeClr val="tx1"/>
              </a:solidFill>
              <a:effectLst/>
              <a:latin typeface="+mn-lt"/>
              <a:ea typeface="+mn-ea"/>
              <a:cs typeface="+mn-cs"/>
            </a:rPr>
            <a:t>Hash_Tag_Data_Clean using Power Query and split hashtags into row-level format for analysis, accepting Post_ID duplication for hashtag-level insights.</a:t>
          </a:r>
          <a:endParaRPr lang="en-IN">
            <a:effectLst/>
          </a:endParaRPr>
        </a:p>
        <a:p>
          <a:r>
            <a:rPr lang="en-IN" sz="1100" b="1" baseline="0">
              <a:solidFill>
                <a:schemeClr val="tx1"/>
              </a:solidFill>
              <a:effectLst/>
              <a:latin typeface="+mn-lt"/>
              <a:ea typeface="+mn-ea"/>
              <a:cs typeface="+mn-cs"/>
            </a:rPr>
            <a:t>All the steps for Task 1 are mentioned here. </a:t>
          </a:r>
          <a:endParaRPr lang="en-IN">
            <a:effectLst/>
          </a:endParaRPr>
        </a:p>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701040</xdr:colOff>
      <xdr:row>460</xdr:row>
      <xdr:rowOff>15241</xdr:rowOff>
    </xdr:from>
    <xdr:ext cx="4968240" cy="1904999"/>
    <xdr:sp macro="" textlink="">
      <xdr:nvSpPr>
        <xdr:cNvPr id="2" name="TextBox 1">
          <a:extLst>
            <a:ext uri="{FF2B5EF4-FFF2-40B4-BE49-F238E27FC236}">
              <a16:creationId xmlns:a16="http://schemas.microsoft.com/office/drawing/2014/main" id="{F7F12FB7-7615-6C08-B8C8-A98A30213077}"/>
            </a:ext>
          </a:extLst>
        </xdr:cNvPr>
        <xdr:cNvSpPr txBox="1"/>
      </xdr:nvSpPr>
      <xdr:spPr>
        <a:xfrm>
          <a:off x="1325880" y="84140041"/>
          <a:ext cx="4968240" cy="19049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1</a:t>
          </a:r>
          <a:r>
            <a:rPr lang="en-IN" sz="1100" b="1" baseline="0">
              <a:solidFill>
                <a:schemeClr val="tx1"/>
              </a:solidFill>
              <a:effectLst/>
              <a:latin typeface="+mn-lt"/>
              <a:ea typeface="+mn-ea"/>
              <a:cs typeface="+mn-cs"/>
            </a:rPr>
            <a:t> </a:t>
          </a:r>
          <a:r>
            <a:rPr lang="en-IN" sz="1100" baseline="0">
              <a:solidFill>
                <a:schemeClr val="tx1"/>
              </a:solidFill>
              <a:effectLst/>
              <a:latin typeface="+mn-lt"/>
              <a:ea typeface="+mn-ea"/>
              <a:cs typeface="+mn-cs"/>
            </a:rPr>
            <a:t>- </a:t>
          </a:r>
          <a:br>
            <a:rPr lang="en-IN" sz="1100" baseline="0">
              <a:solidFill>
                <a:schemeClr val="tx1"/>
              </a:solidFill>
              <a:effectLst/>
              <a:latin typeface="+mn-lt"/>
              <a:ea typeface="+mn-ea"/>
              <a:cs typeface="+mn-cs"/>
            </a:rPr>
          </a:br>
          <a:r>
            <a:rPr lang="en-IN" sz="1100" b="0" baseline="0">
              <a:solidFill>
                <a:schemeClr val="tx1"/>
              </a:solidFill>
              <a:effectLst/>
              <a:latin typeface="+mn-lt"/>
              <a:ea typeface="+mn-ea"/>
              <a:cs typeface="+mn-cs"/>
            </a:rPr>
            <a:t>1. </a:t>
          </a:r>
          <a:r>
            <a:rPr lang="en-IN" sz="1100" b="0">
              <a:solidFill>
                <a:schemeClr val="tx1"/>
              </a:solidFill>
              <a:effectLst/>
              <a:latin typeface="+mn-lt"/>
              <a:ea typeface="+mn-ea"/>
              <a:cs typeface="+mn-cs"/>
            </a:rPr>
            <a:t>Removed duplicate post entries using Data → Remove Duplicates. </a:t>
          </a:r>
          <a:endParaRPr lang="en-IN">
            <a:effectLst/>
          </a:endParaRPr>
        </a:p>
        <a:p>
          <a:r>
            <a:rPr lang="en-IN" sz="1100" b="0">
              <a:solidFill>
                <a:schemeClr val="tx1"/>
              </a:solidFill>
              <a:effectLst/>
              <a:latin typeface="+mn-lt"/>
              <a:ea typeface="+mn-ea"/>
              <a:cs typeface="+mn-cs"/>
            </a:rPr>
            <a:t>2. Loaded the datasets into Power Query Editor for structured data cleaning. Created</a:t>
          </a:r>
          <a:r>
            <a:rPr lang="en-IN" sz="1100" b="0" baseline="0">
              <a:solidFill>
                <a:schemeClr val="tx1"/>
              </a:solidFill>
              <a:effectLst/>
              <a:latin typeface="+mn-lt"/>
              <a:ea typeface="+mn-ea"/>
              <a:cs typeface="+mn-cs"/>
            </a:rPr>
            <a:t> separate file for each data set, with extension clean to keep main data safe.</a:t>
          </a:r>
          <a:endParaRPr lang="en-IN">
            <a:effectLst/>
          </a:endParaRPr>
        </a:p>
        <a:p>
          <a:r>
            <a:rPr lang="en-IN" sz="1100" b="0">
              <a:solidFill>
                <a:schemeClr val="tx1"/>
              </a:solidFill>
              <a:effectLst/>
              <a:latin typeface="+mn-lt"/>
              <a:ea typeface="+mn-ea"/>
              <a:cs typeface="+mn-cs"/>
            </a:rPr>
            <a:t>3. Standardized the date format and verified correct data types for all columns (e.g., numeric fields as whole numbers, hashtags as text) in power</a:t>
          </a:r>
          <a:r>
            <a:rPr lang="en-IN" sz="1100" b="0" baseline="0">
              <a:solidFill>
                <a:schemeClr val="tx1"/>
              </a:solidFill>
              <a:effectLst/>
              <a:latin typeface="+mn-lt"/>
              <a:ea typeface="+mn-ea"/>
              <a:cs typeface="+mn-cs"/>
            </a:rPr>
            <a:t> query editor</a:t>
          </a:r>
          <a:r>
            <a:rPr lang="en-IN" sz="1100" b="0">
              <a:solidFill>
                <a:schemeClr val="tx1"/>
              </a:solidFill>
              <a:effectLst/>
              <a:latin typeface="+mn-lt"/>
              <a:ea typeface="+mn-ea"/>
              <a:cs typeface="+mn-cs"/>
            </a:rPr>
            <a:t>.</a:t>
          </a:r>
          <a:endParaRPr lang="en-IN">
            <a:effectLst/>
          </a:endParaRPr>
        </a:p>
        <a:p>
          <a:r>
            <a:rPr lang="en-IN" sz="1100" b="0">
              <a:solidFill>
                <a:schemeClr val="tx1"/>
              </a:solidFill>
              <a:effectLst/>
              <a:latin typeface="+mn-lt"/>
              <a:ea typeface="+mn-ea"/>
              <a:cs typeface="+mn-cs"/>
            </a:rPr>
            <a:t>4. Created a separate sheet</a:t>
          </a:r>
          <a:r>
            <a:rPr lang="en-IN" sz="1100" b="0" baseline="0">
              <a:solidFill>
                <a:schemeClr val="tx1"/>
              </a:solidFill>
              <a:effectLst/>
              <a:latin typeface="+mn-lt"/>
              <a:ea typeface="+mn-ea"/>
              <a:cs typeface="+mn-cs"/>
            </a:rPr>
            <a:t> for </a:t>
          </a:r>
          <a:r>
            <a:rPr lang="en-IN" sz="1100" b="0">
              <a:solidFill>
                <a:schemeClr val="tx1"/>
              </a:solidFill>
              <a:effectLst/>
              <a:latin typeface="+mn-lt"/>
              <a:ea typeface="+mn-ea"/>
              <a:cs typeface="+mn-cs"/>
            </a:rPr>
            <a:t>Hash_Tag_Data_Clean using Power Query and split hashtags into row-level format for analysis, accepting Post_ID duplication for hashtag-level insights.</a:t>
          </a:r>
          <a:endParaRPr lang="en-IN">
            <a:effectLst/>
          </a:endParaRPr>
        </a:p>
        <a:p>
          <a:r>
            <a:rPr lang="en-IN" sz="1100" b="1" baseline="0">
              <a:solidFill>
                <a:schemeClr val="tx1"/>
              </a:solidFill>
              <a:effectLst/>
              <a:latin typeface="+mn-lt"/>
              <a:ea typeface="+mn-ea"/>
              <a:cs typeface="+mn-cs"/>
            </a:rPr>
            <a:t>All the steps for Task 1 are mentioned here. </a:t>
          </a:r>
          <a:endParaRPr lang="en-IN">
            <a:effectLst/>
          </a:endParaRPr>
        </a:p>
        <a:p>
          <a:endParaRPr lang="en-IN"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xdr:col>
      <xdr:colOff>0</xdr:colOff>
      <xdr:row>6</xdr:row>
      <xdr:rowOff>179070</xdr:rowOff>
    </xdr:from>
    <xdr:to>
      <xdr:col>8</xdr:col>
      <xdr:colOff>441960</xdr:colOff>
      <xdr:row>23</xdr:row>
      <xdr:rowOff>7620</xdr:rowOff>
    </xdr:to>
    <xdr:graphicFrame macro="">
      <xdr:nvGraphicFramePr>
        <xdr:cNvPr id="2" name="Chart 1">
          <a:extLst>
            <a:ext uri="{FF2B5EF4-FFF2-40B4-BE49-F238E27FC236}">
              <a16:creationId xmlns:a16="http://schemas.microsoft.com/office/drawing/2014/main" id="{548F53CD-FF78-D37E-0367-5A4FE9B24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42</xdr:row>
      <xdr:rowOff>179070</xdr:rowOff>
    </xdr:from>
    <xdr:to>
      <xdr:col>10</xdr:col>
      <xdr:colOff>403860</xdr:colOff>
      <xdr:row>57</xdr:row>
      <xdr:rowOff>179070</xdr:rowOff>
    </xdr:to>
    <xdr:graphicFrame macro="">
      <xdr:nvGraphicFramePr>
        <xdr:cNvPr id="3" name="Chart 2">
          <a:extLst>
            <a:ext uri="{FF2B5EF4-FFF2-40B4-BE49-F238E27FC236}">
              <a16:creationId xmlns:a16="http://schemas.microsoft.com/office/drawing/2014/main" id="{DE9728D6-0DE5-2EC5-2CE2-E8680396C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75</xdr:row>
      <xdr:rowOff>3810</xdr:rowOff>
    </xdr:from>
    <xdr:to>
      <xdr:col>14</xdr:col>
      <xdr:colOff>22860</xdr:colOff>
      <xdr:row>92</xdr:row>
      <xdr:rowOff>0</xdr:rowOff>
    </xdr:to>
    <xdr:graphicFrame macro="">
      <xdr:nvGraphicFramePr>
        <xdr:cNvPr id="4" name="Chart 3">
          <a:extLst>
            <a:ext uri="{FF2B5EF4-FFF2-40B4-BE49-F238E27FC236}">
              <a16:creationId xmlns:a16="http://schemas.microsoft.com/office/drawing/2014/main" id="{F5D0326C-CF57-9A8B-DCFC-5C8EA1246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586740</xdr:colOff>
      <xdr:row>112</xdr:row>
      <xdr:rowOff>179070</xdr:rowOff>
    </xdr:from>
    <xdr:to>
      <xdr:col>11</xdr:col>
      <xdr:colOff>0</xdr:colOff>
      <xdr:row>127</xdr:row>
      <xdr:rowOff>179070</xdr:rowOff>
    </xdr:to>
    <xdr:graphicFrame macro="">
      <xdr:nvGraphicFramePr>
        <xdr:cNvPr id="5" name="Chart 4">
          <a:extLst>
            <a:ext uri="{FF2B5EF4-FFF2-40B4-BE49-F238E27FC236}">
              <a16:creationId xmlns:a16="http://schemas.microsoft.com/office/drawing/2014/main" id="{123EE1B9-F54E-E3F3-2D68-B925CDB21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617220</xdr:colOff>
      <xdr:row>150</xdr:row>
      <xdr:rowOff>3810</xdr:rowOff>
    </xdr:from>
    <xdr:to>
      <xdr:col>10</xdr:col>
      <xdr:colOff>419100</xdr:colOff>
      <xdr:row>165</xdr:row>
      <xdr:rowOff>3810</xdr:rowOff>
    </xdr:to>
    <xdr:graphicFrame macro="">
      <xdr:nvGraphicFramePr>
        <xdr:cNvPr id="6" name="Chart 5">
          <a:extLst>
            <a:ext uri="{FF2B5EF4-FFF2-40B4-BE49-F238E27FC236}">
              <a16:creationId xmlns:a16="http://schemas.microsoft.com/office/drawing/2014/main" id="{5293F024-4F7A-7C56-FA26-42DC23ACE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205740</xdr:colOff>
      <xdr:row>17</xdr:row>
      <xdr:rowOff>0</xdr:rowOff>
    </xdr:from>
    <xdr:ext cx="3573780" cy="1996440"/>
    <xdr:sp macro="" textlink="">
      <xdr:nvSpPr>
        <xdr:cNvPr id="7" name="TextBox 6">
          <a:extLst>
            <a:ext uri="{FF2B5EF4-FFF2-40B4-BE49-F238E27FC236}">
              <a16:creationId xmlns:a16="http://schemas.microsoft.com/office/drawing/2014/main" id="{4DBEF9DB-FD1F-9809-46D9-E96FBB3CF0D3}"/>
            </a:ext>
          </a:extLst>
        </xdr:cNvPr>
        <xdr:cNvSpPr txBox="1"/>
      </xdr:nvSpPr>
      <xdr:spPr>
        <a:xfrm>
          <a:off x="205740" y="2194560"/>
          <a:ext cx="3573780" cy="19964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t>Task 2 Sub-Task 1 : </a:t>
          </a:r>
        </a:p>
        <a:p>
          <a:r>
            <a:rPr lang="en-IN" sz="1100"/>
            <a:t>1. Calculated Engagement Field in the data set</a:t>
          </a:r>
          <a:r>
            <a:rPr lang="en-IN" sz="1100" baseline="0"/>
            <a:t> -&gt; Post Clean. </a:t>
          </a:r>
        </a:p>
        <a:p>
          <a:r>
            <a:rPr lang="en-IN" sz="1100" baseline="0"/>
            <a:t>2. Created a new pivot table from insert tab. </a:t>
          </a:r>
        </a:p>
        <a:p>
          <a:r>
            <a:rPr lang="en-IN" sz="1100" baseline="0"/>
            <a:t>3. Added Platforms in Rows and Engagement Rate in values.</a:t>
          </a:r>
        </a:p>
        <a:p>
          <a:r>
            <a:rPr lang="en-IN" sz="1100" baseline="0"/>
            <a:t>4. Changed Sum of Engagement to Average using Value Field Settings.</a:t>
          </a:r>
        </a:p>
        <a:p>
          <a:r>
            <a:rPr lang="en-IN" sz="1100" baseline="0"/>
            <a:t>5. Created Column chart through pivot chart and removed unwanted fields.</a:t>
          </a:r>
          <a:endParaRPr lang="en-IN" sz="1100"/>
        </a:p>
      </xdr:txBody>
    </xdr:sp>
    <xdr:clientData/>
  </xdr:oneCellAnchor>
  <xdr:oneCellAnchor>
    <xdr:from>
      <xdr:col>0</xdr:col>
      <xdr:colOff>213360</xdr:colOff>
      <xdr:row>56</xdr:row>
      <xdr:rowOff>137160</xdr:rowOff>
    </xdr:from>
    <xdr:ext cx="2910840" cy="1554480"/>
    <xdr:sp macro="" textlink="">
      <xdr:nvSpPr>
        <xdr:cNvPr id="8" name="TextBox 7">
          <a:extLst>
            <a:ext uri="{FF2B5EF4-FFF2-40B4-BE49-F238E27FC236}">
              <a16:creationId xmlns:a16="http://schemas.microsoft.com/office/drawing/2014/main" id="{2D7C34A4-74AF-2A88-233E-F91A0F960427}"/>
            </a:ext>
          </a:extLst>
        </xdr:cNvPr>
        <xdr:cNvSpPr txBox="1"/>
      </xdr:nvSpPr>
      <xdr:spPr>
        <a:xfrm>
          <a:off x="213360" y="10378440"/>
          <a:ext cx="2910840" cy="15544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t>Task 2 Sub-Task 2: </a:t>
          </a:r>
        </a:p>
        <a:p>
          <a:r>
            <a:rPr lang="en-IN" sz="1100"/>
            <a:t>1. Created Pivot Table</a:t>
          </a:r>
          <a:r>
            <a:rPr lang="en-IN" sz="1100" baseline="0"/>
            <a:t> on Post_Clean Data Set. </a:t>
          </a:r>
        </a:p>
        <a:p>
          <a:r>
            <a:rPr lang="en-IN" sz="1100" baseline="0"/>
            <a:t>2. Added Post_Id in rows and Engagement in values.</a:t>
          </a:r>
        </a:p>
        <a:p>
          <a:r>
            <a:rPr lang="en-IN" sz="1100" baseline="0"/>
            <a:t>3. Sorted values of Engagement from Largest to Smallest.</a:t>
          </a:r>
          <a:br>
            <a:rPr lang="en-IN" sz="1100" baseline="0"/>
          </a:br>
          <a:r>
            <a:rPr lang="en-IN" sz="1100" baseline="0"/>
            <a:t>4. Added top 10 filter on Post_Id.</a:t>
          </a:r>
        </a:p>
        <a:p>
          <a:r>
            <a:rPr lang="en-IN" sz="1100" baseline="0"/>
            <a:t>5. Added Bar chart through pivot chart.</a:t>
          </a:r>
          <a:endParaRPr lang="en-IN" sz="1100"/>
        </a:p>
      </xdr:txBody>
    </xdr:sp>
    <xdr:clientData/>
  </xdr:oneCellAnchor>
  <xdr:oneCellAnchor>
    <xdr:from>
      <xdr:col>1</xdr:col>
      <xdr:colOff>701040</xdr:colOff>
      <xdr:row>88</xdr:row>
      <xdr:rowOff>152400</xdr:rowOff>
    </xdr:from>
    <xdr:ext cx="184731" cy="264560"/>
    <xdr:sp macro="" textlink="">
      <xdr:nvSpPr>
        <xdr:cNvPr id="9" name="TextBox 8">
          <a:extLst>
            <a:ext uri="{FF2B5EF4-FFF2-40B4-BE49-F238E27FC236}">
              <a16:creationId xmlns:a16="http://schemas.microsoft.com/office/drawing/2014/main" id="{2B3874EF-CA8F-152D-404E-AC8E2B6D8EC9}"/>
            </a:ext>
          </a:extLst>
        </xdr:cNvPr>
        <xdr:cNvSpPr txBox="1"/>
      </xdr:nvSpPr>
      <xdr:spPr>
        <a:xfrm>
          <a:off x="1783080" y="15331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320040</xdr:colOff>
      <xdr:row>89</xdr:row>
      <xdr:rowOff>175260</xdr:rowOff>
    </xdr:from>
    <xdr:ext cx="3230879" cy="2057400"/>
    <xdr:sp macro="" textlink="">
      <xdr:nvSpPr>
        <xdr:cNvPr id="10" name="TextBox 9">
          <a:extLst>
            <a:ext uri="{FF2B5EF4-FFF2-40B4-BE49-F238E27FC236}">
              <a16:creationId xmlns:a16="http://schemas.microsoft.com/office/drawing/2014/main" id="{D72675F0-9C1D-1A1B-01D9-271E591CF83E}"/>
            </a:ext>
          </a:extLst>
        </xdr:cNvPr>
        <xdr:cNvSpPr txBox="1"/>
      </xdr:nvSpPr>
      <xdr:spPr>
        <a:xfrm>
          <a:off x="320040" y="16451580"/>
          <a:ext cx="3230879" cy="20574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t>Task 2 Sub-Task 3: </a:t>
          </a:r>
        </a:p>
        <a:p>
          <a:r>
            <a:rPr lang="en-IN" sz="1100"/>
            <a:t>1. Created Pivot Table on </a:t>
          </a:r>
          <a:r>
            <a:rPr lang="en-IN" sz="1100" baseline="0"/>
            <a:t>Post_Clean Dataset.</a:t>
          </a:r>
        </a:p>
        <a:p>
          <a:r>
            <a:rPr lang="en-IN" sz="1100" baseline="0"/>
            <a:t>2. Added Content_Type and Platform column in rows field and likes, shares, comments in values resulting in their summation.</a:t>
          </a:r>
        </a:p>
        <a:p>
          <a:r>
            <a:rPr lang="en-IN" sz="1100" baseline="0"/>
            <a:t>3. Based on total likes sorted values from largest to smallest.</a:t>
          </a:r>
        </a:p>
        <a:p>
          <a:r>
            <a:rPr lang="en-IN" sz="1100" baseline="0"/>
            <a:t>4. Adding two dimensions in rows column gave us the facility to check which content type worked for which platform.</a:t>
          </a:r>
        </a:p>
        <a:p>
          <a:r>
            <a:rPr lang="en-IN" sz="1100" baseline="0"/>
            <a:t>5. Created Clustered column chart using Pivot Charts.</a:t>
          </a:r>
        </a:p>
      </xdr:txBody>
    </xdr:sp>
    <xdr:clientData/>
  </xdr:oneCellAnchor>
  <xdr:oneCellAnchor>
    <xdr:from>
      <xdr:col>0</xdr:col>
      <xdr:colOff>434340</xdr:colOff>
      <xdr:row>122</xdr:row>
      <xdr:rowOff>22860</xdr:rowOff>
    </xdr:from>
    <xdr:ext cx="3268980" cy="1814599"/>
    <xdr:sp macro="" textlink="">
      <xdr:nvSpPr>
        <xdr:cNvPr id="11" name="TextBox 10">
          <a:extLst>
            <a:ext uri="{FF2B5EF4-FFF2-40B4-BE49-F238E27FC236}">
              <a16:creationId xmlns:a16="http://schemas.microsoft.com/office/drawing/2014/main" id="{5C53474A-9769-1F07-D2E7-7A5C610351CF}"/>
            </a:ext>
          </a:extLst>
        </xdr:cNvPr>
        <xdr:cNvSpPr txBox="1"/>
      </xdr:nvSpPr>
      <xdr:spPr>
        <a:xfrm>
          <a:off x="434340" y="22334220"/>
          <a:ext cx="3268980" cy="18145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IN" sz="1100" b="1">
              <a:solidFill>
                <a:schemeClr val="tx1"/>
              </a:solidFill>
              <a:effectLst/>
              <a:latin typeface="+mn-lt"/>
              <a:ea typeface="+mn-ea"/>
              <a:cs typeface="+mn-cs"/>
            </a:rPr>
            <a:t>Task 2 Sub-Task 4: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Hashtag_Data_Clean Dataset.</a:t>
          </a:r>
          <a:endParaRPr lang="en-IN">
            <a:effectLst/>
          </a:endParaRPr>
        </a:p>
        <a:p>
          <a:r>
            <a:rPr lang="en-IN" sz="1100" baseline="0">
              <a:solidFill>
                <a:schemeClr val="tx1"/>
              </a:solidFill>
              <a:effectLst/>
              <a:latin typeface="+mn-lt"/>
              <a:ea typeface="+mn-ea"/>
              <a:cs typeface="+mn-cs"/>
            </a:rPr>
            <a:t>2. Added Hashtags_Used column in rows field and clicks in values, aggregation of clicks from Summation to Average.</a:t>
          </a:r>
          <a:endParaRPr lang="en-IN">
            <a:effectLst/>
          </a:endParaRPr>
        </a:p>
        <a:p>
          <a:r>
            <a:rPr lang="en-IN" sz="1100" baseline="0">
              <a:solidFill>
                <a:schemeClr val="tx1"/>
              </a:solidFill>
              <a:effectLst/>
              <a:latin typeface="+mn-lt"/>
              <a:ea typeface="+mn-ea"/>
              <a:cs typeface="+mn-cs"/>
            </a:rPr>
            <a:t>3. Based on Average Clicks sorted values from largest to smallest.</a:t>
          </a:r>
        </a:p>
        <a:p>
          <a:r>
            <a:rPr lang="en-IN" sz="1100" baseline="0">
              <a:solidFill>
                <a:schemeClr val="tx1"/>
              </a:solidFill>
              <a:effectLst/>
              <a:latin typeface="+mn-lt"/>
              <a:ea typeface="+mn-ea"/>
              <a:cs typeface="+mn-cs"/>
            </a:rPr>
            <a:t>4. Created Column Chart based on Average clicks using Pivot Charts.</a:t>
          </a:r>
          <a:endParaRPr lang="en-IN">
            <a:effectLst/>
          </a:endParaRPr>
        </a:p>
      </xdr:txBody>
    </xdr:sp>
    <xdr:clientData/>
  </xdr:oneCellAnchor>
  <xdr:oneCellAnchor>
    <xdr:from>
      <xdr:col>0</xdr:col>
      <xdr:colOff>190500</xdr:colOff>
      <xdr:row>158</xdr:row>
      <xdr:rowOff>45720</xdr:rowOff>
    </xdr:from>
    <xdr:ext cx="3246120" cy="1981200"/>
    <xdr:sp macro="" textlink="">
      <xdr:nvSpPr>
        <xdr:cNvPr id="12" name="TextBox 11">
          <a:extLst>
            <a:ext uri="{FF2B5EF4-FFF2-40B4-BE49-F238E27FC236}">
              <a16:creationId xmlns:a16="http://schemas.microsoft.com/office/drawing/2014/main" id="{DFF8B147-E593-E3D6-AF26-35E37EEE3CAC}"/>
            </a:ext>
          </a:extLst>
        </xdr:cNvPr>
        <xdr:cNvSpPr txBox="1"/>
      </xdr:nvSpPr>
      <xdr:spPr>
        <a:xfrm>
          <a:off x="190500" y="28940760"/>
          <a:ext cx="3246120" cy="19812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2 Sub-Task 5: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Hashtag_Data_Clean Dataset.</a:t>
          </a:r>
          <a:endParaRPr lang="en-IN">
            <a:effectLst/>
          </a:endParaRPr>
        </a:p>
        <a:p>
          <a:r>
            <a:rPr lang="en-IN" sz="1100" baseline="0">
              <a:solidFill>
                <a:schemeClr val="tx1"/>
              </a:solidFill>
              <a:effectLst/>
              <a:latin typeface="+mn-lt"/>
              <a:ea typeface="+mn-ea"/>
              <a:cs typeface="+mn-cs"/>
            </a:rPr>
            <a:t>2. Added Hashtags_Used column in rows field and clicks in values, aggregation of clicks from Summation to Average.</a:t>
          </a:r>
          <a:endParaRPr lang="en-IN">
            <a:effectLst/>
          </a:endParaRPr>
        </a:p>
        <a:p>
          <a:r>
            <a:rPr lang="en-IN" sz="1100" baseline="0">
              <a:solidFill>
                <a:schemeClr val="tx1"/>
              </a:solidFill>
              <a:effectLst/>
              <a:latin typeface="+mn-lt"/>
              <a:ea typeface="+mn-ea"/>
              <a:cs typeface="+mn-cs"/>
            </a:rPr>
            <a:t>3. Based on Average Clicks sorted values from largest to smallest.</a:t>
          </a:r>
        </a:p>
        <a:p>
          <a:r>
            <a:rPr lang="en-IN" sz="1100" baseline="0">
              <a:solidFill>
                <a:schemeClr val="tx1"/>
              </a:solidFill>
              <a:effectLst/>
              <a:latin typeface="+mn-lt"/>
              <a:ea typeface="+mn-ea"/>
              <a:cs typeface="+mn-cs"/>
            </a:rPr>
            <a:t>4. Filtered the data based on Top 3, values.</a:t>
          </a:r>
        </a:p>
        <a:p>
          <a:r>
            <a:rPr lang="en-IN" sz="1100" baseline="0">
              <a:solidFill>
                <a:schemeClr val="tx1"/>
              </a:solidFill>
              <a:effectLst/>
              <a:latin typeface="+mn-lt"/>
              <a:ea typeface="+mn-ea"/>
              <a:cs typeface="+mn-cs"/>
            </a:rPr>
            <a:t>5. Created Bar Chart on Average Clicks using Pivot Charts.</a:t>
          </a:r>
          <a:endParaRPr lang="en-IN">
            <a:effectLst/>
          </a:endParaRPr>
        </a:p>
        <a:p>
          <a:endParaRPr lang="en-IN" sz="1100"/>
        </a:p>
      </xdr:txBody>
    </xdr:sp>
    <xdr:clientData/>
  </xdr:oneCellAnchor>
  <xdr:oneCellAnchor>
    <xdr:from>
      <xdr:col>1</xdr:col>
      <xdr:colOff>647700</xdr:colOff>
      <xdr:row>2</xdr:row>
      <xdr:rowOff>137160</xdr:rowOff>
    </xdr:from>
    <xdr:ext cx="4396781" cy="405432"/>
    <xdr:sp macro="" textlink="">
      <xdr:nvSpPr>
        <xdr:cNvPr id="13" name="TextBox 12">
          <a:extLst>
            <a:ext uri="{FF2B5EF4-FFF2-40B4-BE49-F238E27FC236}">
              <a16:creationId xmlns:a16="http://schemas.microsoft.com/office/drawing/2014/main" id="{FF418D0E-489F-040B-5B43-BE2C788B57B7}"/>
            </a:ext>
          </a:extLst>
        </xdr:cNvPr>
        <xdr:cNvSpPr txBox="1"/>
      </xdr:nvSpPr>
      <xdr:spPr>
        <a:xfrm>
          <a:off x="1592580" y="502920"/>
          <a:ext cx="4396781"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rPr>
            <a:t>Average Engagement</a:t>
          </a:r>
          <a:r>
            <a:rPr lang="en-IN" sz="2000" b="1" baseline="0">
              <a:solidFill>
                <a:schemeClr val="tx1"/>
              </a:solidFill>
            </a:rPr>
            <a:t> Rate Per Platform</a:t>
          </a:r>
          <a:endParaRPr lang="en-IN" sz="2000" b="1">
            <a:solidFill>
              <a:schemeClr val="tx1"/>
            </a:solidFill>
          </a:endParaRPr>
        </a:p>
      </xdr:txBody>
    </xdr:sp>
    <xdr:clientData/>
  </xdr:oneCellAnchor>
  <xdr:oneCellAnchor>
    <xdr:from>
      <xdr:col>6</xdr:col>
      <xdr:colOff>129540</xdr:colOff>
      <xdr:row>3</xdr:row>
      <xdr:rowOff>160020</xdr:rowOff>
    </xdr:from>
    <xdr:ext cx="184731" cy="405432"/>
    <xdr:sp macro="" textlink="">
      <xdr:nvSpPr>
        <xdr:cNvPr id="14" name="TextBox 13">
          <a:extLst>
            <a:ext uri="{FF2B5EF4-FFF2-40B4-BE49-F238E27FC236}">
              <a16:creationId xmlns:a16="http://schemas.microsoft.com/office/drawing/2014/main" id="{F7F5FE94-6AD5-4D77-89AD-A72E5E4D106D}"/>
            </a:ext>
          </a:extLst>
        </xdr:cNvPr>
        <xdr:cNvSpPr txBox="1"/>
      </xdr:nvSpPr>
      <xdr:spPr>
        <a:xfrm>
          <a:off x="5989320" y="708660"/>
          <a:ext cx="184731"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2000" b="1">
            <a:solidFill>
              <a:schemeClr val="tx1"/>
            </a:solidFill>
          </a:endParaRPr>
        </a:p>
      </xdr:txBody>
    </xdr:sp>
    <xdr:clientData/>
  </xdr:oneCellAnchor>
  <xdr:oneCellAnchor>
    <xdr:from>
      <xdr:col>1</xdr:col>
      <xdr:colOff>754380</xdr:colOff>
      <xdr:row>38</xdr:row>
      <xdr:rowOff>68580</xdr:rowOff>
    </xdr:from>
    <xdr:ext cx="4328160" cy="405432"/>
    <xdr:sp macro="" textlink="">
      <xdr:nvSpPr>
        <xdr:cNvPr id="15" name="TextBox 14">
          <a:extLst>
            <a:ext uri="{FF2B5EF4-FFF2-40B4-BE49-F238E27FC236}">
              <a16:creationId xmlns:a16="http://schemas.microsoft.com/office/drawing/2014/main" id="{D51E2D26-2070-4607-9047-B3FB78107A1C}"/>
            </a:ext>
          </a:extLst>
        </xdr:cNvPr>
        <xdr:cNvSpPr txBox="1"/>
      </xdr:nvSpPr>
      <xdr:spPr>
        <a:xfrm>
          <a:off x="1699260" y="7018020"/>
          <a:ext cx="4328160"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tx1"/>
              </a:solidFill>
            </a:rPr>
            <a:t>Top</a:t>
          </a:r>
          <a:r>
            <a:rPr lang="en-IN" sz="2000" b="1" baseline="0">
              <a:solidFill>
                <a:schemeClr val="tx1"/>
              </a:solidFill>
            </a:rPr>
            <a:t> 10 Posts with Highest Engagement</a:t>
          </a:r>
          <a:endParaRPr lang="en-IN" sz="2000" b="1">
            <a:solidFill>
              <a:schemeClr val="tx1"/>
            </a:solidFill>
          </a:endParaRPr>
        </a:p>
      </xdr:txBody>
    </xdr:sp>
    <xdr:clientData/>
  </xdr:oneCellAnchor>
  <xdr:oneCellAnchor>
    <xdr:from>
      <xdr:col>1</xdr:col>
      <xdr:colOff>716280</xdr:colOff>
      <xdr:row>72</xdr:row>
      <xdr:rowOff>0</xdr:rowOff>
    </xdr:from>
    <xdr:ext cx="6451703" cy="405432"/>
    <xdr:sp macro="" textlink="">
      <xdr:nvSpPr>
        <xdr:cNvPr id="16" name="TextBox 15">
          <a:extLst>
            <a:ext uri="{FF2B5EF4-FFF2-40B4-BE49-F238E27FC236}">
              <a16:creationId xmlns:a16="http://schemas.microsoft.com/office/drawing/2014/main" id="{927352E0-37A4-43E2-AB56-1CA1CDD1549B}"/>
            </a:ext>
          </a:extLst>
        </xdr:cNvPr>
        <xdr:cNvSpPr txBox="1"/>
      </xdr:nvSpPr>
      <xdr:spPr>
        <a:xfrm>
          <a:off x="1661160" y="13167360"/>
          <a:ext cx="6451703"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Likes, Shares, Comments by Content Type &amp; Platform</a:t>
          </a:r>
          <a:endParaRPr lang="en-IN" sz="2000" b="1">
            <a:solidFill>
              <a:schemeClr val="tx1"/>
            </a:solidFill>
          </a:endParaRPr>
        </a:p>
      </xdr:txBody>
    </xdr:sp>
    <xdr:clientData/>
  </xdr:oneCellAnchor>
  <xdr:oneCellAnchor>
    <xdr:from>
      <xdr:col>2</xdr:col>
      <xdr:colOff>45720</xdr:colOff>
      <xdr:row>109</xdr:row>
      <xdr:rowOff>60960</xdr:rowOff>
    </xdr:from>
    <xdr:ext cx="3892669" cy="405432"/>
    <xdr:sp macro="" textlink="">
      <xdr:nvSpPr>
        <xdr:cNvPr id="18" name="TextBox 17">
          <a:extLst>
            <a:ext uri="{FF2B5EF4-FFF2-40B4-BE49-F238E27FC236}">
              <a16:creationId xmlns:a16="http://schemas.microsoft.com/office/drawing/2014/main" id="{4BA5A3A0-247C-F04D-08EC-850810082FEC}"/>
            </a:ext>
          </a:extLst>
        </xdr:cNvPr>
        <xdr:cNvSpPr txBox="1"/>
      </xdr:nvSpPr>
      <xdr:spPr>
        <a:xfrm>
          <a:off x="1783080" y="19994880"/>
          <a:ext cx="3892669"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rPr>
            <a:t>Average Clicks per post by Hashtag</a:t>
          </a:r>
        </a:p>
      </xdr:txBody>
    </xdr:sp>
    <xdr:clientData/>
  </xdr:oneCellAnchor>
  <xdr:oneCellAnchor>
    <xdr:from>
      <xdr:col>2</xdr:col>
      <xdr:colOff>121920</xdr:colOff>
      <xdr:row>146</xdr:row>
      <xdr:rowOff>121920</xdr:rowOff>
    </xdr:from>
    <xdr:ext cx="2868670" cy="405432"/>
    <xdr:sp macro="" textlink="">
      <xdr:nvSpPr>
        <xdr:cNvPr id="19" name="TextBox 18">
          <a:extLst>
            <a:ext uri="{FF2B5EF4-FFF2-40B4-BE49-F238E27FC236}">
              <a16:creationId xmlns:a16="http://schemas.microsoft.com/office/drawing/2014/main" id="{7EB285C5-5BA9-2142-CB08-DB58CD89E231}"/>
            </a:ext>
          </a:extLst>
        </xdr:cNvPr>
        <xdr:cNvSpPr txBox="1"/>
      </xdr:nvSpPr>
      <xdr:spPr>
        <a:xfrm>
          <a:off x="1859280" y="26822400"/>
          <a:ext cx="2868670"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rPr>
            <a:t>Top Performing Hashtags</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3</xdr:col>
      <xdr:colOff>0</xdr:colOff>
      <xdr:row>4</xdr:row>
      <xdr:rowOff>171450</xdr:rowOff>
    </xdr:from>
    <xdr:to>
      <xdr:col>7</xdr:col>
      <xdr:colOff>0</xdr:colOff>
      <xdr:row>20</xdr:row>
      <xdr:rowOff>175260</xdr:rowOff>
    </xdr:to>
    <xdr:graphicFrame macro="">
      <xdr:nvGraphicFramePr>
        <xdr:cNvPr id="2" name="Chart 1">
          <a:extLst>
            <a:ext uri="{FF2B5EF4-FFF2-40B4-BE49-F238E27FC236}">
              <a16:creationId xmlns:a16="http://schemas.microsoft.com/office/drawing/2014/main" id="{97282E7D-18D0-08DD-D6D8-A15245845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350520</xdr:colOff>
      <xdr:row>77</xdr:row>
      <xdr:rowOff>15241</xdr:rowOff>
    </xdr:from>
    <xdr:to>
      <xdr:col>10</xdr:col>
      <xdr:colOff>152400</xdr:colOff>
      <xdr:row>85</xdr:row>
      <xdr:rowOff>7621</xdr:rowOff>
    </xdr:to>
    <mc:AlternateContent xmlns:mc="http://schemas.openxmlformats.org/markup-compatibility/2006" xmlns:a14="http://schemas.microsoft.com/office/drawing/2010/main">
      <mc:Choice Requires="a14">
        <xdr:graphicFrame macro="">
          <xdr:nvGraphicFramePr>
            <xdr:cNvPr id="13" name="Platform 1">
              <a:extLst>
                <a:ext uri="{FF2B5EF4-FFF2-40B4-BE49-F238E27FC236}">
                  <a16:creationId xmlns:a16="http://schemas.microsoft.com/office/drawing/2014/main" id="{B345F913-194A-69AB-813C-1D2DCA1E4A30}"/>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8595360" y="1527048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1112520</xdr:colOff>
      <xdr:row>40</xdr:row>
      <xdr:rowOff>0</xdr:rowOff>
    </xdr:from>
    <xdr:to>
      <xdr:col>8</xdr:col>
      <xdr:colOff>297180</xdr:colOff>
      <xdr:row>53</xdr:row>
      <xdr:rowOff>163830</xdr:rowOff>
    </xdr:to>
    <xdr:graphicFrame macro="">
      <xdr:nvGraphicFramePr>
        <xdr:cNvPr id="3" name="Chart 2">
          <a:extLst>
            <a:ext uri="{FF2B5EF4-FFF2-40B4-BE49-F238E27FC236}">
              <a16:creationId xmlns:a16="http://schemas.microsoft.com/office/drawing/2014/main" id="{1CD0EC41-48B3-F5D5-8A97-7CF59A48C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312420</xdr:colOff>
      <xdr:row>76</xdr:row>
      <xdr:rowOff>179070</xdr:rowOff>
    </xdr:from>
    <xdr:to>
      <xdr:col>7</xdr:col>
      <xdr:colOff>236220</xdr:colOff>
      <xdr:row>91</xdr:row>
      <xdr:rowOff>179070</xdr:rowOff>
    </xdr:to>
    <xdr:graphicFrame macro="">
      <xdr:nvGraphicFramePr>
        <xdr:cNvPr id="4" name="Chart 3">
          <a:extLst>
            <a:ext uri="{FF2B5EF4-FFF2-40B4-BE49-F238E27FC236}">
              <a16:creationId xmlns:a16="http://schemas.microsoft.com/office/drawing/2014/main" id="{DAD975EE-FD25-8836-BA3F-19E3677BD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304800</xdr:colOff>
      <xdr:row>1</xdr:row>
      <xdr:rowOff>45720</xdr:rowOff>
    </xdr:from>
    <xdr:ext cx="4772653" cy="405432"/>
    <xdr:sp macro="" textlink="">
      <xdr:nvSpPr>
        <xdr:cNvPr id="5" name="TextBox 4">
          <a:extLst>
            <a:ext uri="{FF2B5EF4-FFF2-40B4-BE49-F238E27FC236}">
              <a16:creationId xmlns:a16="http://schemas.microsoft.com/office/drawing/2014/main" id="{29619616-BB9B-3790-F2EE-792BAF8BAE58}"/>
            </a:ext>
          </a:extLst>
        </xdr:cNvPr>
        <xdr:cNvSpPr txBox="1"/>
      </xdr:nvSpPr>
      <xdr:spPr>
        <a:xfrm>
          <a:off x="1181100" y="228600"/>
          <a:ext cx="4772653"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Aggregate Engagement based</a:t>
          </a:r>
          <a:r>
            <a:rPr lang="en-IN" sz="2000" b="1" baseline="0"/>
            <a:t> on Platforms</a:t>
          </a:r>
          <a:endParaRPr lang="en-IN" sz="2000" b="1"/>
        </a:p>
      </xdr:txBody>
    </xdr:sp>
    <xdr:clientData/>
  </xdr:oneCellAnchor>
  <xdr:oneCellAnchor>
    <xdr:from>
      <xdr:col>0</xdr:col>
      <xdr:colOff>114300</xdr:colOff>
      <xdr:row>13</xdr:row>
      <xdr:rowOff>1</xdr:rowOff>
    </xdr:from>
    <xdr:ext cx="2453640" cy="1882139"/>
    <xdr:sp macro="" textlink="">
      <xdr:nvSpPr>
        <xdr:cNvPr id="6" name="TextBox 5">
          <a:extLst>
            <a:ext uri="{FF2B5EF4-FFF2-40B4-BE49-F238E27FC236}">
              <a16:creationId xmlns:a16="http://schemas.microsoft.com/office/drawing/2014/main" id="{A3E4477C-4F79-631B-627E-6785B2E28097}"/>
            </a:ext>
          </a:extLst>
        </xdr:cNvPr>
        <xdr:cNvSpPr txBox="1"/>
      </xdr:nvSpPr>
      <xdr:spPr>
        <a:xfrm>
          <a:off x="114300" y="2377441"/>
          <a:ext cx="2453640" cy="1882139"/>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3 Sub-Task 1: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Post_Clean Dataset.</a:t>
          </a:r>
          <a:endParaRPr lang="en-IN">
            <a:effectLst/>
          </a:endParaRPr>
        </a:p>
        <a:p>
          <a:r>
            <a:rPr lang="en-IN" sz="1100" baseline="0">
              <a:solidFill>
                <a:schemeClr val="tx1"/>
              </a:solidFill>
              <a:effectLst/>
              <a:latin typeface="+mn-lt"/>
              <a:ea typeface="+mn-ea"/>
              <a:cs typeface="+mn-cs"/>
            </a:rPr>
            <a:t>2. Added Platform column in rows field and Engagement in values, aggregation is already Summation.</a:t>
          </a:r>
          <a:endParaRPr lang="en-IN">
            <a:effectLst/>
          </a:endParaRPr>
        </a:p>
        <a:p>
          <a:r>
            <a:rPr lang="en-IN" sz="1100" baseline="0">
              <a:solidFill>
                <a:schemeClr val="tx1"/>
              </a:solidFill>
              <a:effectLst/>
              <a:latin typeface="+mn-lt"/>
              <a:ea typeface="+mn-ea"/>
              <a:cs typeface="+mn-cs"/>
            </a:rPr>
            <a:t>3. Based on Sum of Engagement sorted values from largest to smallest.</a:t>
          </a:r>
        </a:p>
        <a:p>
          <a:r>
            <a:rPr lang="en-IN" sz="1100" baseline="0">
              <a:solidFill>
                <a:schemeClr val="tx1"/>
              </a:solidFill>
              <a:effectLst/>
              <a:latin typeface="+mn-lt"/>
              <a:ea typeface="+mn-ea"/>
              <a:cs typeface="+mn-cs"/>
            </a:rPr>
            <a:t>4. Created Column Chart using Pivot Chart and removed unwanted fields.</a:t>
          </a:r>
          <a:endParaRPr lang="en-IN">
            <a:effectLst/>
          </a:endParaRPr>
        </a:p>
        <a:p>
          <a:endParaRPr lang="en-IN" sz="1100"/>
        </a:p>
      </xdr:txBody>
    </xdr:sp>
    <xdr:clientData/>
  </xdr:oneCellAnchor>
  <xdr:oneCellAnchor>
    <xdr:from>
      <xdr:col>0</xdr:col>
      <xdr:colOff>243840</xdr:colOff>
      <xdr:row>48</xdr:row>
      <xdr:rowOff>0</xdr:rowOff>
    </xdr:from>
    <xdr:ext cx="3817620" cy="3032760"/>
    <xdr:sp macro="" textlink="">
      <xdr:nvSpPr>
        <xdr:cNvPr id="7" name="TextBox 6">
          <a:extLst>
            <a:ext uri="{FF2B5EF4-FFF2-40B4-BE49-F238E27FC236}">
              <a16:creationId xmlns:a16="http://schemas.microsoft.com/office/drawing/2014/main" id="{0BDF3EC6-DBFA-5AD1-FB51-988540D9F654}"/>
            </a:ext>
          </a:extLst>
        </xdr:cNvPr>
        <xdr:cNvSpPr txBox="1"/>
      </xdr:nvSpPr>
      <xdr:spPr>
        <a:xfrm>
          <a:off x="243840" y="7985760"/>
          <a:ext cx="3817620" cy="303276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3 Sub-Task 2: </a:t>
          </a:r>
          <a:endParaRPr lang="en-IN">
            <a:effectLst/>
          </a:endParaRPr>
        </a:p>
        <a:p>
          <a:r>
            <a:rPr lang="en-IN" sz="1100">
              <a:solidFill>
                <a:schemeClr val="tx1"/>
              </a:solidFill>
              <a:effectLst/>
              <a:latin typeface="+mn-lt"/>
              <a:ea typeface="+mn-ea"/>
              <a:cs typeface="+mn-cs"/>
            </a:rPr>
            <a:t>1. Added</a:t>
          </a:r>
          <a:r>
            <a:rPr lang="en-IN" sz="1100" baseline="0">
              <a:solidFill>
                <a:schemeClr val="tx1"/>
              </a:solidFill>
              <a:effectLst/>
              <a:latin typeface="+mn-lt"/>
              <a:ea typeface="+mn-ea"/>
              <a:cs typeface="+mn-cs"/>
            </a:rPr>
            <a:t> two columns to Engagement_Summary Dataset named Follower_Growth and Follower_Growth_Rate. </a:t>
          </a:r>
        </a:p>
        <a:p>
          <a:r>
            <a:rPr lang="en-IN" sz="1100" baseline="0">
              <a:solidFill>
                <a:schemeClr val="tx1"/>
              </a:solidFill>
              <a:effectLst/>
              <a:latin typeface="+mn-lt"/>
              <a:ea typeface="+mn-ea"/>
              <a:cs typeface="+mn-cs"/>
            </a:rPr>
            <a:t>Follower_Growth = (New_Followers -Unfollows)</a:t>
          </a:r>
        </a:p>
        <a:p>
          <a:r>
            <a:rPr lang="en-IN" sz="1100" baseline="0">
              <a:solidFill>
                <a:schemeClr val="tx1"/>
              </a:solidFill>
              <a:effectLst/>
              <a:latin typeface="+mn-lt"/>
              <a:ea typeface="+mn-ea"/>
              <a:cs typeface="+mn-cs"/>
            </a:rPr>
            <a:t>Follower_Growth_Rate = (New_Followers - Unfollows) / Total_Followers</a:t>
          </a:r>
        </a:p>
        <a:p>
          <a:r>
            <a:rPr lang="en-IN" sz="1100" baseline="0">
              <a:solidFill>
                <a:schemeClr val="tx1"/>
              </a:solidFill>
              <a:effectLst/>
              <a:latin typeface="+mn-lt"/>
              <a:ea typeface="+mn-ea"/>
              <a:cs typeface="+mn-cs"/>
            </a:rPr>
            <a:t>2. Converted data type of Follower_Growth_Rate from General to Percentage.</a:t>
          </a:r>
          <a:endParaRPr lang="en-IN" sz="1100">
            <a:solidFill>
              <a:schemeClr val="tx1"/>
            </a:solidFill>
            <a:effectLst/>
            <a:latin typeface="+mn-lt"/>
            <a:ea typeface="+mn-ea"/>
            <a:cs typeface="+mn-cs"/>
          </a:endParaRPr>
        </a:p>
        <a:p>
          <a:r>
            <a:rPr lang="en-IN" sz="1100">
              <a:solidFill>
                <a:schemeClr val="tx1"/>
              </a:solidFill>
              <a:effectLst/>
              <a:latin typeface="+mn-lt"/>
              <a:ea typeface="+mn-ea"/>
              <a:cs typeface="+mn-cs"/>
            </a:rPr>
            <a:t>3. Created Pivot Table on </a:t>
          </a:r>
          <a:r>
            <a:rPr lang="en-IN" sz="1100" baseline="0">
              <a:solidFill>
                <a:schemeClr val="tx1"/>
              </a:solidFill>
              <a:effectLst/>
              <a:latin typeface="+mn-lt"/>
              <a:ea typeface="+mn-ea"/>
              <a:cs typeface="+mn-cs"/>
            </a:rPr>
            <a:t>Engagement_Summary_Clean Dataset.</a:t>
          </a:r>
          <a:endParaRPr lang="en-IN">
            <a:effectLst/>
          </a:endParaRPr>
        </a:p>
        <a:p>
          <a:r>
            <a:rPr lang="en-IN" sz="1100" baseline="0">
              <a:solidFill>
                <a:schemeClr val="tx1"/>
              </a:solidFill>
              <a:effectLst/>
              <a:latin typeface="+mn-lt"/>
              <a:ea typeface="+mn-ea"/>
              <a:cs typeface="+mn-cs"/>
            </a:rPr>
            <a:t>4. Added Platform column in rows field and Follower_Growth_Rate in values, aggregation converted to Average from Summation.</a:t>
          </a:r>
          <a:endParaRPr lang="en-IN">
            <a:effectLst/>
          </a:endParaRPr>
        </a:p>
        <a:p>
          <a:r>
            <a:rPr lang="en-IN" sz="1100" baseline="0">
              <a:solidFill>
                <a:schemeClr val="tx1"/>
              </a:solidFill>
              <a:effectLst/>
              <a:latin typeface="+mn-lt"/>
              <a:ea typeface="+mn-ea"/>
              <a:cs typeface="+mn-cs"/>
            </a:rPr>
            <a:t>5. Based on Average of Follower_Growth_Rate sorted values from largest to smallest.</a:t>
          </a:r>
          <a:endParaRPr lang="en-IN">
            <a:effectLst/>
          </a:endParaRPr>
        </a:p>
        <a:p>
          <a:r>
            <a:rPr lang="en-IN" sz="1100" baseline="0">
              <a:solidFill>
                <a:schemeClr val="tx1"/>
              </a:solidFill>
              <a:effectLst/>
              <a:latin typeface="+mn-lt"/>
              <a:ea typeface="+mn-ea"/>
              <a:cs typeface="+mn-cs"/>
            </a:rPr>
            <a:t>6. Created Column Chart using Pivot Chart and removed unwanted fields.</a:t>
          </a:r>
          <a:endParaRPr lang="en-IN">
            <a:effectLst/>
          </a:endParaRPr>
        </a:p>
      </xdr:txBody>
    </xdr:sp>
    <xdr:clientData/>
  </xdr:oneCellAnchor>
  <xdr:oneCellAnchor>
    <xdr:from>
      <xdr:col>1</xdr:col>
      <xdr:colOff>830580</xdr:colOff>
      <xdr:row>36</xdr:row>
      <xdr:rowOff>152400</xdr:rowOff>
    </xdr:from>
    <xdr:ext cx="4379212" cy="405432"/>
    <xdr:sp macro="" textlink="">
      <xdr:nvSpPr>
        <xdr:cNvPr id="8" name="TextBox 7">
          <a:extLst>
            <a:ext uri="{FF2B5EF4-FFF2-40B4-BE49-F238E27FC236}">
              <a16:creationId xmlns:a16="http://schemas.microsoft.com/office/drawing/2014/main" id="{CB677610-17E8-77DF-19EB-08FFDC9BA632}"/>
            </a:ext>
          </a:extLst>
        </xdr:cNvPr>
        <xdr:cNvSpPr txBox="1"/>
      </xdr:nvSpPr>
      <xdr:spPr>
        <a:xfrm>
          <a:off x="1706880" y="5943600"/>
          <a:ext cx="4379212"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rPr>
            <a:t>Follower Growth</a:t>
          </a:r>
          <a:r>
            <a:rPr lang="en-IN" sz="2000" b="1" baseline="0">
              <a:solidFill>
                <a:schemeClr val="tx1"/>
              </a:solidFill>
            </a:rPr>
            <a:t> Rate Across Platforms</a:t>
          </a:r>
          <a:endParaRPr lang="en-IN" sz="2000" b="1">
            <a:solidFill>
              <a:schemeClr val="tx1"/>
            </a:solidFill>
          </a:endParaRPr>
        </a:p>
      </xdr:txBody>
    </xdr:sp>
    <xdr:clientData/>
  </xdr:oneCellAnchor>
  <xdr:oneCellAnchor>
    <xdr:from>
      <xdr:col>0</xdr:col>
      <xdr:colOff>556260</xdr:colOff>
      <xdr:row>92</xdr:row>
      <xdr:rowOff>152400</xdr:rowOff>
    </xdr:from>
    <xdr:ext cx="7800212" cy="1125693"/>
    <xdr:sp macro="" textlink="">
      <xdr:nvSpPr>
        <xdr:cNvPr id="9" name="TextBox 8">
          <a:extLst>
            <a:ext uri="{FF2B5EF4-FFF2-40B4-BE49-F238E27FC236}">
              <a16:creationId xmlns:a16="http://schemas.microsoft.com/office/drawing/2014/main" id="{2BB861B3-C460-8B28-69DB-778C8E9A4EDB}"/>
            </a:ext>
          </a:extLst>
        </xdr:cNvPr>
        <xdr:cNvSpPr txBox="1"/>
      </xdr:nvSpPr>
      <xdr:spPr>
        <a:xfrm>
          <a:off x="556260" y="16184880"/>
          <a:ext cx="7800212" cy="11256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lang="en-IN" sz="1100" b="1">
              <a:solidFill>
                <a:schemeClr val="tx1"/>
              </a:solidFill>
              <a:effectLst/>
              <a:latin typeface="+mn-lt"/>
              <a:ea typeface="+mn-ea"/>
              <a:cs typeface="+mn-cs"/>
            </a:rPr>
            <a:t>Task 3 Sub-Task 3: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Engagement_Summary_Clean Dataset.</a:t>
          </a:r>
          <a:endParaRPr lang="en-IN">
            <a:effectLst/>
          </a:endParaRPr>
        </a:p>
        <a:p>
          <a:r>
            <a:rPr lang="en-IN" sz="1100" baseline="0">
              <a:solidFill>
                <a:schemeClr val="tx1"/>
              </a:solidFill>
              <a:effectLst/>
              <a:latin typeface="+mn-lt"/>
              <a:ea typeface="+mn-ea"/>
              <a:cs typeface="+mn-cs"/>
            </a:rPr>
            <a:t>2. Added Platform and Week_Start_Date columns in rows field and, Engagement and Ad_Spend in values, aggregation is Summation.</a:t>
          </a:r>
          <a:endParaRPr lang="en-IN">
            <a:effectLst/>
          </a:endParaRPr>
        </a:p>
        <a:p>
          <a:r>
            <a:rPr lang="en-IN" sz="1100" baseline="0">
              <a:solidFill>
                <a:schemeClr val="tx1"/>
              </a:solidFill>
              <a:effectLst/>
              <a:latin typeface="+mn-lt"/>
              <a:ea typeface="+mn-ea"/>
              <a:cs typeface="+mn-cs"/>
            </a:rPr>
            <a:t>3. Added Slicer on the Table using Pivot Table Analyze Section, selected Platform for filteration using Slicer.</a:t>
          </a:r>
        </a:p>
        <a:p>
          <a:r>
            <a:rPr lang="en-IN" sz="1100" baseline="0">
              <a:solidFill>
                <a:schemeClr val="tx1"/>
              </a:solidFill>
              <a:effectLst/>
              <a:latin typeface="+mn-lt"/>
              <a:ea typeface="+mn-ea"/>
              <a:cs typeface="+mn-cs"/>
            </a:rPr>
            <a:t>4. Copied Sliced Data and Pasted as Linked Values below this explanation.</a:t>
          </a:r>
        </a:p>
        <a:p>
          <a:r>
            <a:rPr lang="en-IN" sz="1100" baseline="0">
              <a:solidFill>
                <a:schemeClr val="tx1"/>
              </a:solidFill>
              <a:effectLst/>
              <a:latin typeface="+mn-lt"/>
              <a:ea typeface="+mn-ea"/>
              <a:cs typeface="+mn-cs"/>
            </a:rPr>
            <a:t>5. Created Scattered Chart on pasted values using Pivot Chart on Sum of Engagement vs Sum of Ad_Spend.</a:t>
          </a:r>
          <a:endParaRPr lang="en-IN">
            <a:effectLst/>
          </a:endParaRPr>
        </a:p>
      </xdr:txBody>
    </xdr:sp>
    <xdr:clientData/>
  </xdr:oneCellAnchor>
  <xdr:oneCellAnchor>
    <xdr:from>
      <xdr:col>3</xdr:col>
      <xdr:colOff>297180</xdr:colOff>
      <xdr:row>73</xdr:row>
      <xdr:rowOff>45720</xdr:rowOff>
    </xdr:from>
    <xdr:ext cx="4341766" cy="405432"/>
    <xdr:sp macro="" textlink="">
      <xdr:nvSpPr>
        <xdr:cNvPr id="10" name="TextBox 9">
          <a:extLst>
            <a:ext uri="{FF2B5EF4-FFF2-40B4-BE49-F238E27FC236}">
              <a16:creationId xmlns:a16="http://schemas.microsoft.com/office/drawing/2014/main" id="{D099E07D-1A45-0ED8-32FA-EA2AF3AF613F}"/>
            </a:ext>
          </a:extLst>
        </xdr:cNvPr>
        <xdr:cNvSpPr txBox="1"/>
      </xdr:nvSpPr>
      <xdr:spPr>
        <a:xfrm>
          <a:off x="3459480" y="12603480"/>
          <a:ext cx="4341766"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Engagement vs. Ad Spend per Platform</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3</xdr:col>
      <xdr:colOff>0</xdr:colOff>
      <xdr:row>5</xdr:row>
      <xdr:rowOff>171450</xdr:rowOff>
    </xdr:from>
    <xdr:to>
      <xdr:col>10</xdr:col>
      <xdr:colOff>472440</xdr:colOff>
      <xdr:row>21</xdr:row>
      <xdr:rowOff>15240</xdr:rowOff>
    </xdr:to>
    <xdr:graphicFrame macro="">
      <xdr:nvGraphicFramePr>
        <xdr:cNvPr id="2" name="Chart 1">
          <a:extLst>
            <a:ext uri="{FF2B5EF4-FFF2-40B4-BE49-F238E27FC236}">
              <a16:creationId xmlns:a16="http://schemas.microsoft.com/office/drawing/2014/main" id="{4874EB31-C7CB-E0C6-D541-155AC8269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1310640</xdr:colOff>
      <xdr:row>2</xdr:row>
      <xdr:rowOff>76200</xdr:rowOff>
    </xdr:from>
    <xdr:ext cx="3444276" cy="405432"/>
    <xdr:sp macro="" textlink="">
      <xdr:nvSpPr>
        <xdr:cNvPr id="3" name="TextBox 2">
          <a:extLst>
            <a:ext uri="{FF2B5EF4-FFF2-40B4-BE49-F238E27FC236}">
              <a16:creationId xmlns:a16="http://schemas.microsoft.com/office/drawing/2014/main" id="{B10DE76F-8799-1DEE-5AE6-78280B138187}"/>
            </a:ext>
          </a:extLst>
        </xdr:cNvPr>
        <xdr:cNvSpPr txBox="1"/>
      </xdr:nvSpPr>
      <xdr:spPr>
        <a:xfrm>
          <a:off x="2575560" y="441960"/>
          <a:ext cx="3444276"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rPr>
            <a:t>Frequency of</a:t>
          </a:r>
          <a:r>
            <a:rPr lang="en-IN" sz="2000" b="1" baseline="0">
              <a:solidFill>
                <a:schemeClr val="tx1"/>
              </a:solidFill>
            </a:rPr>
            <a:t> Myntra Hashtags</a:t>
          </a:r>
          <a:endParaRPr lang="en-IN" sz="2000" b="1">
            <a:solidFill>
              <a:schemeClr val="tx1"/>
            </a:solidFill>
          </a:endParaRPr>
        </a:p>
      </xdr:txBody>
    </xdr:sp>
    <xdr:clientData/>
  </xdr:oneCellAnchor>
  <xdr:oneCellAnchor>
    <xdr:from>
      <xdr:col>0</xdr:col>
      <xdr:colOff>381001</xdr:colOff>
      <xdr:row>14</xdr:row>
      <xdr:rowOff>45720</xdr:rowOff>
    </xdr:from>
    <xdr:ext cx="3139440" cy="1882140"/>
    <xdr:sp macro="" textlink="">
      <xdr:nvSpPr>
        <xdr:cNvPr id="4" name="TextBox 3">
          <a:extLst>
            <a:ext uri="{FF2B5EF4-FFF2-40B4-BE49-F238E27FC236}">
              <a16:creationId xmlns:a16="http://schemas.microsoft.com/office/drawing/2014/main" id="{CCB19CC0-4E51-FC15-8C42-48509C055A39}"/>
            </a:ext>
          </a:extLst>
        </xdr:cNvPr>
        <xdr:cNvSpPr txBox="1"/>
      </xdr:nvSpPr>
      <xdr:spPr>
        <a:xfrm>
          <a:off x="381001" y="2606040"/>
          <a:ext cx="3139440" cy="18821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4 Sub-Task 1: </a:t>
          </a:r>
          <a:endParaRPr lang="en-IN">
            <a:effectLst/>
          </a:endParaRPr>
        </a:p>
        <a:p>
          <a:r>
            <a:rPr lang="en-IN" sz="1100">
              <a:solidFill>
                <a:schemeClr val="tx1"/>
              </a:solidFill>
              <a:effectLst/>
              <a:latin typeface="+mn-lt"/>
              <a:ea typeface="+mn-ea"/>
              <a:cs typeface="+mn-cs"/>
            </a:rPr>
            <a:t>3. Created Pivot Table on </a:t>
          </a:r>
          <a:r>
            <a:rPr lang="en-IN" sz="1100" baseline="0">
              <a:solidFill>
                <a:schemeClr val="tx1"/>
              </a:solidFill>
              <a:effectLst/>
              <a:latin typeface="+mn-lt"/>
              <a:ea typeface="+mn-ea"/>
              <a:cs typeface="+mn-cs"/>
            </a:rPr>
            <a:t>Hashtag_Data_Clean Dataset.</a:t>
          </a:r>
          <a:endParaRPr lang="en-IN">
            <a:effectLst/>
          </a:endParaRPr>
        </a:p>
        <a:p>
          <a:r>
            <a:rPr lang="en-IN" sz="1100" baseline="0">
              <a:solidFill>
                <a:schemeClr val="tx1"/>
              </a:solidFill>
              <a:effectLst/>
              <a:latin typeface="+mn-lt"/>
              <a:ea typeface="+mn-ea"/>
              <a:cs typeface="+mn-cs"/>
            </a:rPr>
            <a:t>4. Added Hashtags_Used column in rows field and again Hashtags_Used column in values, aggregation was already Count of Hashtags_Used.</a:t>
          </a:r>
          <a:endParaRPr lang="en-IN">
            <a:effectLst/>
          </a:endParaRPr>
        </a:p>
        <a:p>
          <a:r>
            <a:rPr lang="en-IN" sz="1100" baseline="0">
              <a:solidFill>
                <a:schemeClr val="tx1"/>
              </a:solidFill>
              <a:effectLst/>
              <a:latin typeface="+mn-lt"/>
              <a:ea typeface="+mn-ea"/>
              <a:cs typeface="+mn-cs"/>
            </a:rPr>
            <a:t>5. Based on </a:t>
          </a:r>
          <a:r>
            <a:rPr lang="en-IN" sz="1100" baseline="0">
              <a:solidFill>
                <a:schemeClr val="dk1"/>
              </a:solidFill>
              <a:effectLst/>
              <a:latin typeface="+mn-lt"/>
              <a:ea typeface="+mn-ea"/>
              <a:cs typeface="+mn-cs"/>
            </a:rPr>
            <a:t>Count of Hashtags_Used </a:t>
          </a:r>
          <a:r>
            <a:rPr lang="en-IN" sz="1100" baseline="0">
              <a:solidFill>
                <a:schemeClr val="tx1"/>
              </a:solidFill>
              <a:effectLst/>
              <a:latin typeface="+mn-lt"/>
              <a:ea typeface="+mn-ea"/>
              <a:cs typeface="+mn-cs"/>
            </a:rPr>
            <a:t>sorted values from largest to smallest.</a:t>
          </a:r>
          <a:endParaRPr lang="en-IN">
            <a:effectLst/>
          </a:endParaRPr>
        </a:p>
        <a:p>
          <a:r>
            <a:rPr lang="en-IN" sz="1100" baseline="0">
              <a:solidFill>
                <a:schemeClr val="tx1"/>
              </a:solidFill>
              <a:effectLst/>
              <a:latin typeface="+mn-lt"/>
              <a:ea typeface="+mn-ea"/>
              <a:cs typeface="+mn-cs"/>
            </a:rPr>
            <a:t>6. Created Column Chart using Pivot Chart and removed unwanted fields.</a:t>
          </a:r>
          <a:endParaRPr lang="en-IN">
            <a:effectLst/>
          </a:endParaRPr>
        </a:p>
        <a:p>
          <a:endParaRPr lang="en-IN" sz="1100"/>
        </a:p>
      </xdr:txBody>
    </xdr:sp>
    <xdr:clientData/>
  </xdr:oneCellAnchor>
  <xdr:oneCellAnchor>
    <xdr:from>
      <xdr:col>1</xdr:col>
      <xdr:colOff>853440</xdr:colOff>
      <xdr:row>35</xdr:row>
      <xdr:rowOff>137160</xdr:rowOff>
    </xdr:from>
    <xdr:ext cx="4381456" cy="405432"/>
    <xdr:sp macro="" textlink="">
      <xdr:nvSpPr>
        <xdr:cNvPr id="5" name="TextBox 4">
          <a:extLst>
            <a:ext uri="{FF2B5EF4-FFF2-40B4-BE49-F238E27FC236}">
              <a16:creationId xmlns:a16="http://schemas.microsoft.com/office/drawing/2014/main" id="{10885D06-655C-3179-077B-A2E5A28B1B39}"/>
            </a:ext>
          </a:extLst>
        </xdr:cNvPr>
        <xdr:cNvSpPr txBox="1"/>
      </xdr:nvSpPr>
      <xdr:spPr>
        <a:xfrm>
          <a:off x="1851660" y="7040880"/>
          <a:ext cx="4381456"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Content Performance Across Platforms</a:t>
          </a:r>
        </a:p>
      </xdr:txBody>
    </xdr:sp>
    <xdr:clientData/>
  </xdr:oneCellAnchor>
  <xdr:twoCellAnchor>
    <xdr:from>
      <xdr:col>3</xdr:col>
      <xdr:colOff>0</xdr:colOff>
      <xdr:row>38</xdr:row>
      <xdr:rowOff>179070</xdr:rowOff>
    </xdr:from>
    <xdr:to>
      <xdr:col>9</xdr:col>
      <xdr:colOff>99060</xdr:colOff>
      <xdr:row>56</xdr:row>
      <xdr:rowOff>83820</xdr:rowOff>
    </xdr:to>
    <xdr:graphicFrame macro="">
      <xdr:nvGraphicFramePr>
        <xdr:cNvPr id="6" name="Chart 5">
          <a:extLst>
            <a:ext uri="{FF2B5EF4-FFF2-40B4-BE49-F238E27FC236}">
              <a16:creationId xmlns:a16="http://schemas.microsoft.com/office/drawing/2014/main" id="{61896C8E-83B2-B9AB-B872-1D19E7480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327661</xdr:colOff>
      <xdr:row>47</xdr:row>
      <xdr:rowOff>15241</xdr:rowOff>
    </xdr:from>
    <xdr:ext cx="3291840" cy="1729740"/>
    <xdr:sp macro="" textlink="">
      <xdr:nvSpPr>
        <xdr:cNvPr id="7" name="TextBox 6">
          <a:extLst>
            <a:ext uri="{FF2B5EF4-FFF2-40B4-BE49-F238E27FC236}">
              <a16:creationId xmlns:a16="http://schemas.microsoft.com/office/drawing/2014/main" id="{55615C54-10F7-CF55-55EC-8E9E496BA251}"/>
            </a:ext>
          </a:extLst>
        </xdr:cNvPr>
        <xdr:cNvSpPr txBox="1"/>
      </xdr:nvSpPr>
      <xdr:spPr>
        <a:xfrm>
          <a:off x="327661" y="9113521"/>
          <a:ext cx="3291840" cy="17297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4 Sub-Task 3: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Post_Clean Dataset.</a:t>
          </a:r>
          <a:endParaRPr lang="en-IN">
            <a:effectLst/>
          </a:endParaRPr>
        </a:p>
        <a:p>
          <a:r>
            <a:rPr lang="en-IN" sz="1100" baseline="0">
              <a:solidFill>
                <a:schemeClr val="tx1"/>
              </a:solidFill>
              <a:effectLst/>
              <a:latin typeface="+mn-lt"/>
              <a:ea typeface="+mn-ea"/>
              <a:cs typeface="+mn-cs"/>
            </a:rPr>
            <a:t>2. Added Platform and Content Type columns in rows field and Engagement Rate in values, aggregation converted to Average from Summation.</a:t>
          </a:r>
          <a:endParaRPr lang="en-IN">
            <a:effectLst/>
          </a:endParaRPr>
        </a:p>
        <a:p>
          <a:r>
            <a:rPr lang="en-IN" sz="1100" baseline="0">
              <a:solidFill>
                <a:schemeClr val="tx1"/>
              </a:solidFill>
              <a:effectLst/>
              <a:latin typeface="+mn-lt"/>
              <a:ea typeface="+mn-ea"/>
              <a:cs typeface="+mn-cs"/>
            </a:rPr>
            <a:t>3. Based on Average of Engagement_Rate sorted values from largest to smallest.</a:t>
          </a:r>
          <a:endParaRPr lang="en-IN">
            <a:effectLst/>
          </a:endParaRPr>
        </a:p>
        <a:p>
          <a:r>
            <a:rPr lang="en-IN" sz="1100" baseline="0">
              <a:solidFill>
                <a:schemeClr val="tx1"/>
              </a:solidFill>
              <a:effectLst/>
              <a:latin typeface="+mn-lt"/>
              <a:ea typeface="+mn-ea"/>
              <a:cs typeface="+mn-cs"/>
            </a:rPr>
            <a:t>4. Created Column Chart using Pivot Chart and removed unwanted fields.</a:t>
          </a:r>
          <a:endParaRPr lang="en-IN">
            <a:effectLst/>
          </a:endParaRPr>
        </a:p>
        <a:p>
          <a:endParaRPr lang="en-IN" sz="1100"/>
        </a:p>
      </xdr:txBody>
    </xdr:sp>
    <xdr:clientData/>
  </xdr:oneCellAnchor>
  <xdr:oneCellAnchor>
    <xdr:from>
      <xdr:col>1</xdr:col>
      <xdr:colOff>1043940</xdr:colOff>
      <xdr:row>66</xdr:row>
      <xdr:rowOff>175260</xdr:rowOff>
    </xdr:from>
    <xdr:ext cx="3577261" cy="405432"/>
    <xdr:sp macro="" textlink="">
      <xdr:nvSpPr>
        <xdr:cNvPr id="8" name="TextBox 7">
          <a:extLst>
            <a:ext uri="{FF2B5EF4-FFF2-40B4-BE49-F238E27FC236}">
              <a16:creationId xmlns:a16="http://schemas.microsoft.com/office/drawing/2014/main" id="{47845765-D8A0-6C48-CBCF-37B521F78A28}"/>
            </a:ext>
          </a:extLst>
        </xdr:cNvPr>
        <xdr:cNvSpPr txBox="1"/>
      </xdr:nvSpPr>
      <xdr:spPr>
        <a:xfrm>
          <a:off x="2308860" y="13251180"/>
          <a:ext cx="3577261"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rPr>
            <a:t>Hashtags</a:t>
          </a:r>
          <a:r>
            <a:rPr lang="en-IN" sz="2000" b="1" baseline="0">
              <a:solidFill>
                <a:schemeClr val="tx1"/>
              </a:solidFill>
            </a:rPr>
            <a:t> Average Performance</a:t>
          </a:r>
          <a:endParaRPr lang="en-IN" sz="2000" b="1">
            <a:solidFill>
              <a:schemeClr val="tx1"/>
            </a:solidFill>
          </a:endParaRPr>
        </a:p>
      </xdr:txBody>
    </xdr:sp>
    <xdr:clientData/>
  </xdr:oneCellAnchor>
  <xdr:twoCellAnchor>
    <xdr:from>
      <xdr:col>2</xdr:col>
      <xdr:colOff>1242060</xdr:colOff>
      <xdr:row>70</xdr:row>
      <xdr:rowOff>3810</xdr:rowOff>
    </xdr:from>
    <xdr:to>
      <xdr:col>8</xdr:col>
      <xdr:colOff>556260</xdr:colOff>
      <xdr:row>85</xdr:row>
      <xdr:rowOff>3810</xdr:rowOff>
    </xdr:to>
    <xdr:graphicFrame macro="">
      <xdr:nvGraphicFramePr>
        <xdr:cNvPr id="10" name="Chart 9">
          <a:extLst>
            <a:ext uri="{FF2B5EF4-FFF2-40B4-BE49-F238E27FC236}">
              <a16:creationId xmlns:a16="http://schemas.microsoft.com/office/drawing/2014/main" id="{F9D9E0B5-22BC-CBBA-4BF2-1277AC6E6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213360</xdr:colOff>
      <xdr:row>78</xdr:row>
      <xdr:rowOff>106681</xdr:rowOff>
    </xdr:from>
    <xdr:ext cx="3520440" cy="1661160"/>
    <xdr:sp macro="" textlink="">
      <xdr:nvSpPr>
        <xdr:cNvPr id="11" name="TextBox 10">
          <a:extLst>
            <a:ext uri="{FF2B5EF4-FFF2-40B4-BE49-F238E27FC236}">
              <a16:creationId xmlns:a16="http://schemas.microsoft.com/office/drawing/2014/main" id="{1CA2C801-31F3-8904-E1D5-D000948C0091}"/>
            </a:ext>
          </a:extLst>
        </xdr:cNvPr>
        <xdr:cNvSpPr txBox="1"/>
      </xdr:nvSpPr>
      <xdr:spPr>
        <a:xfrm>
          <a:off x="213360" y="15148561"/>
          <a:ext cx="3520440" cy="166116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4 Sub-Task 2: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Hashtag_Clean Dataset.</a:t>
          </a:r>
          <a:endParaRPr lang="en-IN">
            <a:effectLst/>
          </a:endParaRPr>
        </a:p>
        <a:p>
          <a:r>
            <a:rPr lang="en-IN" sz="1100" baseline="0">
              <a:solidFill>
                <a:schemeClr val="tx1"/>
              </a:solidFill>
              <a:effectLst/>
              <a:latin typeface="+mn-lt"/>
              <a:ea typeface="+mn-ea"/>
              <a:cs typeface="+mn-cs"/>
            </a:rPr>
            <a:t>2. Added Hashtags_Used and Post_ID columns in rows field and Engagement Rate in values, aggregation converted to Average from Summation.</a:t>
          </a:r>
          <a:endParaRPr lang="en-IN">
            <a:effectLst/>
          </a:endParaRPr>
        </a:p>
        <a:p>
          <a:r>
            <a:rPr lang="en-IN" sz="1100" baseline="0">
              <a:solidFill>
                <a:schemeClr val="tx1"/>
              </a:solidFill>
              <a:effectLst/>
              <a:latin typeface="+mn-lt"/>
              <a:ea typeface="+mn-ea"/>
              <a:cs typeface="+mn-cs"/>
            </a:rPr>
            <a:t>3. Based on Average of Engagement_Rate sorted values from largest to smallest.</a:t>
          </a:r>
          <a:endParaRPr lang="en-IN">
            <a:effectLst/>
          </a:endParaRPr>
        </a:p>
        <a:p>
          <a:r>
            <a:rPr lang="en-IN" sz="1100" baseline="0">
              <a:solidFill>
                <a:schemeClr val="tx1"/>
              </a:solidFill>
              <a:effectLst/>
              <a:latin typeface="+mn-lt"/>
              <a:ea typeface="+mn-ea"/>
              <a:cs typeface="+mn-cs"/>
            </a:rPr>
            <a:t>4. Created Column Chart using Pivot Chart and removed unwanted fields.</a:t>
          </a:r>
          <a:endParaRPr lang="en-IN">
            <a:effectLst/>
          </a:endParaRPr>
        </a:p>
        <a:p>
          <a:endParaRPr lang="en-IN"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5</xdr:col>
      <xdr:colOff>0</xdr:colOff>
      <xdr:row>19</xdr:row>
      <xdr:rowOff>179070</xdr:rowOff>
    </xdr:from>
    <xdr:to>
      <xdr:col>11</xdr:col>
      <xdr:colOff>190500</xdr:colOff>
      <xdr:row>34</xdr:row>
      <xdr:rowOff>179070</xdr:rowOff>
    </xdr:to>
    <xdr:graphicFrame macro="">
      <xdr:nvGraphicFramePr>
        <xdr:cNvPr id="2" name="Chart 1">
          <a:extLst>
            <a:ext uri="{FF2B5EF4-FFF2-40B4-BE49-F238E27FC236}">
              <a16:creationId xmlns:a16="http://schemas.microsoft.com/office/drawing/2014/main" id="{60B42481-EDFA-0B91-6339-DF2CA05E8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693420</xdr:colOff>
      <xdr:row>2</xdr:row>
      <xdr:rowOff>7620</xdr:rowOff>
    </xdr:from>
    <xdr:ext cx="184731" cy="264560"/>
    <xdr:sp macro="" textlink="">
      <xdr:nvSpPr>
        <xdr:cNvPr id="3" name="TextBox 2">
          <a:extLst>
            <a:ext uri="{FF2B5EF4-FFF2-40B4-BE49-F238E27FC236}">
              <a16:creationId xmlns:a16="http://schemas.microsoft.com/office/drawing/2014/main" id="{1D81DEA5-8F6E-0A11-7A20-0F68827108EA}"/>
            </a:ext>
          </a:extLst>
        </xdr:cNvPr>
        <xdr:cNvSpPr txBox="1"/>
      </xdr:nvSpPr>
      <xdr:spPr>
        <a:xfrm>
          <a:off x="4899660" y="7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594360</xdr:colOff>
      <xdr:row>1</xdr:row>
      <xdr:rowOff>0</xdr:rowOff>
    </xdr:from>
    <xdr:ext cx="6271260" cy="405432"/>
    <xdr:sp macro="" textlink="">
      <xdr:nvSpPr>
        <xdr:cNvPr id="4" name="TextBox 3">
          <a:extLst>
            <a:ext uri="{FF2B5EF4-FFF2-40B4-BE49-F238E27FC236}">
              <a16:creationId xmlns:a16="http://schemas.microsoft.com/office/drawing/2014/main" id="{2C84EF5F-B550-65F2-6B02-E830F3CBB789}"/>
            </a:ext>
          </a:extLst>
        </xdr:cNvPr>
        <xdr:cNvSpPr txBox="1"/>
      </xdr:nvSpPr>
      <xdr:spPr>
        <a:xfrm>
          <a:off x="594360" y="182880"/>
          <a:ext cx="6271260"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000" b="1">
              <a:solidFill>
                <a:schemeClr val="tx1"/>
              </a:solidFill>
            </a:rPr>
            <a:t>Total &amp; Average Impressions, Likes, Clicks per Campaign</a:t>
          </a:r>
        </a:p>
      </xdr:txBody>
    </xdr:sp>
    <xdr:clientData/>
  </xdr:oneCellAnchor>
  <xdr:oneCellAnchor>
    <xdr:from>
      <xdr:col>0</xdr:col>
      <xdr:colOff>1051560</xdr:colOff>
      <xdr:row>12</xdr:row>
      <xdr:rowOff>60960</xdr:rowOff>
    </xdr:from>
    <xdr:ext cx="184731" cy="264560"/>
    <xdr:sp macro="" textlink="">
      <xdr:nvSpPr>
        <xdr:cNvPr id="5" name="TextBox 4">
          <a:extLst>
            <a:ext uri="{FF2B5EF4-FFF2-40B4-BE49-F238E27FC236}">
              <a16:creationId xmlns:a16="http://schemas.microsoft.com/office/drawing/2014/main" id="{81A715D1-EBD0-D8E0-6AB5-CE67C539BC66}"/>
            </a:ext>
          </a:extLst>
        </xdr:cNvPr>
        <xdr:cNvSpPr txBox="1"/>
      </xdr:nvSpPr>
      <xdr:spPr>
        <a:xfrm>
          <a:off x="1051560" y="2255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365760</xdr:colOff>
      <xdr:row>47</xdr:row>
      <xdr:rowOff>144780</xdr:rowOff>
    </xdr:from>
    <xdr:ext cx="2735580" cy="405432"/>
    <xdr:sp macro="" textlink="">
      <xdr:nvSpPr>
        <xdr:cNvPr id="6" name="TextBox 5">
          <a:extLst>
            <a:ext uri="{FF2B5EF4-FFF2-40B4-BE49-F238E27FC236}">
              <a16:creationId xmlns:a16="http://schemas.microsoft.com/office/drawing/2014/main" id="{BB62CC43-FAED-AC74-26F8-DD9CE66A949B}"/>
            </a:ext>
          </a:extLst>
        </xdr:cNvPr>
        <xdr:cNvSpPr txBox="1"/>
      </xdr:nvSpPr>
      <xdr:spPr>
        <a:xfrm>
          <a:off x="3901440" y="9471660"/>
          <a:ext cx="2735580"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tx1"/>
              </a:solidFill>
            </a:rPr>
            <a:t>ROI Across Campaigns</a:t>
          </a:r>
        </a:p>
      </xdr:txBody>
    </xdr:sp>
    <xdr:clientData/>
  </xdr:oneCellAnchor>
  <xdr:oneCellAnchor>
    <xdr:from>
      <xdr:col>7</xdr:col>
      <xdr:colOff>563880</xdr:colOff>
      <xdr:row>3</xdr:row>
      <xdr:rowOff>175260</xdr:rowOff>
    </xdr:from>
    <xdr:ext cx="2865120" cy="1125693"/>
    <xdr:sp macro="" textlink="">
      <xdr:nvSpPr>
        <xdr:cNvPr id="7" name="TextBox 6">
          <a:extLst>
            <a:ext uri="{FF2B5EF4-FFF2-40B4-BE49-F238E27FC236}">
              <a16:creationId xmlns:a16="http://schemas.microsoft.com/office/drawing/2014/main" id="{ACA89E49-5606-1357-6C59-70D535D58C5C}"/>
            </a:ext>
          </a:extLst>
        </xdr:cNvPr>
        <xdr:cNvSpPr txBox="1"/>
      </xdr:nvSpPr>
      <xdr:spPr>
        <a:xfrm>
          <a:off x="7475220" y="723900"/>
          <a:ext cx="2865120" cy="11256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IN" sz="1100" b="1">
              <a:solidFill>
                <a:schemeClr val="tx1"/>
              </a:solidFill>
              <a:effectLst/>
              <a:latin typeface="+mn-lt"/>
              <a:ea typeface="+mn-ea"/>
              <a:cs typeface="+mn-cs"/>
            </a:rPr>
            <a:t>Task 5 Sub-Task 1: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Post_Clean Dataset.</a:t>
          </a:r>
          <a:endParaRPr lang="en-IN">
            <a:effectLst/>
          </a:endParaRPr>
        </a:p>
        <a:p>
          <a:r>
            <a:rPr lang="en-IN" sz="1100" baseline="0">
              <a:solidFill>
                <a:schemeClr val="tx1"/>
              </a:solidFill>
              <a:effectLst/>
              <a:latin typeface="+mn-lt"/>
              <a:ea typeface="+mn-ea"/>
              <a:cs typeface="+mn-cs"/>
            </a:rPr>
            <a:t>2. Added Campaign Name column in rows field and Impressions, Likes, Clicks each twice in values, aggregation of second one converted to Average from Summation.</a:t>
          </a:r>
          <a:endParaRPr lang="en-IN" sz="1100"/>
        </a:p>
      </xdr:txBody>
    </xdr:sp>
    <xdr:clientData/>
  </xdr:oneCellAnchor>
  <xdr:oneCellAnchor>
    <xdr:from>
      <xdr:col>2</xdr:col>
      <xdr:colOff>396240</xdr:colOff>
      <xdr:row>16</xdr:row>
      <xdr:rowOff>30480</xdr:rowOff>
    </xdr:from>
    <xdr:ext cx="5248424" cy="405432"/>
    <xdr:sp macro="" textlink="">
      <xdr:nvSpPr>
        <xdr:cNvPr id="8" name="TextBox 7">
          <a:extLst>
            <a:ext uri="{FF2B5EF4-FFF2-40B4-BE49-F238E27FC236}">
              <a16:creationId xmlns:a16="http://schemas.microsoft.com/office/drawing/2014/main" id="{539B0D67-409A-44A0-C283-2C66D8455344}"/>
            </a:ext>
          </a:extLst>
        </xdr:cNvPr>
        <xdr:cNvSpPr txBox="1"/>
      </xdr:nvSpPr>
      <xdr:spPr>
        <a:xfrm>
          <a:off x="2659380" y="2956560"/>
          <a:ext cx="5248424"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rPr>
            <a:t>Engagement uplift During vs. Before Campaigns</a:t>
          </a:r>
        </a:p>
      </xdr:txBody>
    </xdr:sp>
    <xdr:clientData/>
  </xdr:oneCellAnchor>
  <xdr:oneCellAnchor>
    <xdr:from>
      <xdr:col>0</xdr:col>
      <xdr:colOff>403860</xdr:colOff>
      <xdr:row>28</xdr:row>
      <xdr:rowOff>15240</xdr:rowOff>
    </xdr:from>
    <xdr:ext cx="4114800" cy="3360420"/>
    <xdr:sp macro="" textlink="">
      <xdr:nvSpPr>
        <xdr:cNvPr id="9" name="TextBox 8">
          <a:extLst>
            <a:ext uri="{FF2B5EF4-FFF2-40B4-BE49-F238E27FC236}">
              <a16:creationId xmlns:a16="http://schemas.microsoft.com/office/drawing/2014/main" id="{18C786C0-9B52-3FAC-616B-664D89AF280C}"/>
            </a:ext>
          </a:extLst>
        </xdr:cNvPr>
        <xdr:cNvSpPr txBox="1"/>
      </xdr:nvSpPr>
      <xdr:spPr>
        <a:xfrm>
          <a:off x="403860" y="5135880"/>
          <a:ext cx="4114800" cy="33604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5 Sub-Task 2: </a:t>
          </a:r>
          <a:endParaRPr lang="en-IN">
            <a:effectLst/>
          </a:endParaRPr>
        </a:p>
        <a:p>
          <a:r>
            <a:rPr lang="en-IN" sz="1100"/>
            <a:t>1.</a:t>
          </a:r>
          <a:r>
            <a:rPr lang="en-IN" sz="1100" baseline="0"/>
            <a:t> Added two new columns in Engagement_Summary _ Clean dataset, named Campaign_Phase and Campaign_Name using Campaign Meta Data sheeet.</a:t>
          </a:r>
        </a:p>
        <a:p>
          <a:r>
            <a:rPr lang="en-IN" sz="1100" baseline="0"/>
            <a:t>2. Compared Start and End dates of Campaign Meta Data sheet for each Campaign with week start date and inserted -&gt; Before, During and NA, Before for dates within 30 days before Start_Date of any campaign, During for any date during the Campaign (From Start_Date till End_Date) and NA which is not Before or During the Campaign.</a:t>
          </a:r>
        </a:p>
        <a:p>
          <a:r>
            <a:rPr lang="en-IN" sz="1100" baseline="0"/>
            <a:t>3. For Campaign_Names used Campaign Names for dates Before and During the campaign and NA for other dates.</a:t>
          </a:r>
        </a:p>
        <a:p>
          <a:r>
            <a:rPr lang="en-IN" sz="1100" baseline="0"/>
            <a:t>4. Created Pivot table data on Engagement Summary Data, inserted Campaign Name Column in Rows field and Campaign Phase Column in Columns Field, while added Engagment in Values field. </a:t>
          </a:r>
        </a:p>
        <a:p>
          <a:r>
            <a:rPr lang="en-IN" sz="1100" baseline="0"/>
            <a:t>5. Changed default Summation to Average Engagement. </a:t>
          </a:r>
        </a:p>
        <a:p>
          <a:r>
            <a:rPr lang="en-IN" sz="1100"/>
            <a:t>6. Added Column beside</a:t>
          </a:r>
          <a:r>
            <a:rPr lang="en-IN" sz="1100" baseline="0"/>
            <a:t> Pivot Table named Uplift %, calculated as : </a:t>
          </a:r>
        </a:p>
        <a:p>
          <a:r>
            <a:rPr lang="en-IN" sz="1100" baseline="0"/>
            <a:t>    Uplift % = (During - Before) / Before </a:t>
          </a:r>
          <a:br>
            <a:rPr lang="en-IN" sz="1100" baseline="0"/>
          </a:br>
          <a:r>
            <a:rPr lang="en-IN" sz="1100" baseline="0"/>
            <a:t>7. Create Bar chart on Uplift % using Pivot Charts. </a:t>
          </a:r>
          <a:endParaRPr lang="en-IN" sz="1100"/>
        </a:p>
      </xdr:txBody>
    </xdr:sp>
    <xdr:clientData/>
  </xdr:oneCellAnchor>
  <xdr:oneCellAnchor>
    <xdr:from>
      <xdr:col>0</xdr:col>
      <xdr:colOff>548640</xdr:colOff>
      <xdr:row>57</xdr:row>
      <xdr:rowOff>7620</xdr:rowOff>
    </xdr:from>
    <xdr:ext cx="3909060" cy="1470146"/>
    <xdr:sp macro="" textlink="">
      <xdr:nvSpPr>
        <xdr:cNvPr id="12" name="TextBox 11">
          <a:extLst>
            <a:ext uri="{FF2B5EF4-FFF2-40B4-BE49-F238E27FC236}">
              <a16:creationId xmlns:a16="http://schemas.microsoft.com/office/drawing/2014/main" id="{7C070CBE-DABB-D5C7-1100-0608E5C18F60}"/>
            </a:ext>
          </a:extLst>
        </xdr:cNvPr>
        <xdr:cNvSpPr txBox="1"/>
      </xdr:nvSpPr>
      <xdr:spPr>
        <a:xfrm>
          <a:off x="548640" y="11163300"/>
          <a:ext cx="3909060" cy="147014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IN" sz="1100" b="1">
              <a:solidFill>
                <a:schemeClr val="tx1"/>
              </a:solidFill>
              <a:effectLst/>
              <a:latin typeface="+mn-lt"/>
              <a:ea typeface="+mn-ea"/>
              <a:cs typeface="+mn-cs"/>
            </a:rPr>
            <a:t>Task 5 Sub-Task 3: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Engagement_Summary_Clean Dataset.</a:t>
          </a:r>
          <a:endParaRPr lang="en-IN">
            <a:effectLst/>
          </a:endParaRPr>
        </a:p>
        <a:p>
          <a:r>
            <a:rPr lang="en-IN" sz="1100" baseline="0">
              <a:solidFill>
                <a:schemeClr val="tx1"/>
              </a:solidFill>
              <a:effectLst/>
              <a:latin typeface="+mn-lt"/>
              <a:ea typeface="+mn-ea"/>
              <a:cs typeface="+mn-cs"/>
            </a:rPr>
            <a:t>2. Added Campaign_Name column in rows field and Engagement and Ad_Spend in values, aggregation is Summation.</a:t>
          </a:r>
          <a:endParaRPr lang="en-IN">
            <a:effectLst/>
          </a:endParaRPr>
        </a:p>
        <a:p>
          <a:r>
            <a:rPr lang="en-IN" sz="1100" baseline="0">
              <a:solidFill>
                <a:schemeClr val="tx1"/>
              </a:solidFill>
              <a:effectLst/>
              <a:latin typeface="+mn-lt"/>
              <a:ea typeface="+mn-ea"/>
              <a:cs typeface="+mn-cs"/>
            </a:rPr>
            <a:t>3. Created a new calculated field named ROI aggregate to calculate ROI, using Engagement and Ad_Spend,</a:t>
          </a:r>
        </a:p>
        <a:p>
          <a:r>
            <a:rPr lang="en-IN" sz="1100" baseline="0">
              <a:solidFill>
                <a:schemeClr val="tx1"/>
              </a:solidFill>
              <a:effectLst/>
              <a:latin typeface="+mn-lt"/>
              <a:ea typeface="+mn-ea"/>
              <a:cs typeface="+mn-cs"/>
            </a:rPr>
            <a:t>            ROI = Total Engagement / Total Ad_Spend</a:t>
          </a:r>
        </a:p>
        <a:p>
          <a:r>
            <a:rPr lang="en-IN" sz="1100" baseline="0">
              <a:solidFill>
                <a:schemeClr val="tx1"/>
              </a:solidFill>
              <a:effectLst/>
              <a:latin typeface="+mn-lt"/>
              <a:ea typeface="+mn-ea"/>
              <a:cs typeface="+mn-cs"/>
            </a:rPr>
            <a:t>4. Sorted ROI as Largest to Smallest.</a:t>
          </a:r>
          <a:endParaRPr lang="en-IN">
            <a:effectLst/>
          </a:endParaRPr>
        </a:p>
      </xdr:txBody>
    </xdr:sp>
    <xdr:clientData/>
  </xdr:oneCellAnchor>
  <xdr:twoCellAnchor>
    <xdr:from>
      <xdr:col>5</xdr:col>
      <xdr:colOff>335280</xdr:colOff>
      <xdr:row>50</xdr:row>
      <xdr:rowOff>179070</xdr:rowOff>
    </xdr:from>
    <xdr:to>
      <xdr:col>10</xdr:col>
      <xdr:colOff>487680</xdr:colOff>
      <xdr:row>65</xdr:row>
      <xdr:rowOff>179070</xdr:rowOff>
    </xdr:to>
    <xdr:graphicFrame macro="">
      <xdr:nvGraphicFramePr>
        <xdr:cNvPr id="14" name="Chart 13">
          <a:extLst>
            <a:ext uri="{FF2B5EF4-FFF2-40B4-BE49-F238E27FC236}">
              <a16:creationId xmlns:a16="http://schemas.microsoft.com/office/drawing/2014/main" id="{D7DA8BAC-E24A-A0A5-6A3E-F9657E410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266700</xdr:colOff>
      <xdr:row>83</xdr:row>
      <xdr:rowOff>160020</xdr:rowOff>
    </xdr:from>
    <xdr:ext cx="3955635" cy="405432"/>
    <xdr:sp macro="" textlink="">
      <xdr:nvSpPr>
        <xdr:cNvPr id="15" name="TextBox 14">
          <a:extLst>
            <a:ext uri="{FF2B5EF4-FFF2-40B4-BE49-F238E27FC236}">
              <a16:creationId xmlns:a16="http://schemas.microsoft.com/office/drawing/2014/main" id="{1CD74936-3281-ABD2-71EF-87C790083180}"/>
            </a:ext>
          </a:extLst>
        </xdr:cNvPr>
        <xdr:cNvSpPr txBox="1"/>
      </xdr:nvSpPr>
      <xdr:spPr>
        <a:xfrm>
          <a:off x="1447800" y="16573500"/>
          <a:ext cx="3955635"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Follower Growth Across Campaigns</a:t>
          </a:r>
        </a:p>
      </xdr:txBody>
    </xdr:sp>
    <xdr:clientData/>
  </xdr:oneCellAnchor>
  <xdr:twoCellAnchor>
    <xdr:from>
      <xdr:col>4</xdr:col>
      <xdr:colOff>0</xdr:colOff>
      <xdr:row>87</xdr:row>
      <xdr:rowOff>3810</xdr:rowOff>
    </xdr:from>
    <xdr:to>
      <xdr:col>8</xdr:col>
      <xdr:colOff>198120</xdr:colOff>
      <xdr:row>102</xdr:row>
      <xdr:rowOff>3810</xdr:rowOff>
    </xdr:to>
    <xdr:graphicFrame macro="">
      <xdr:nvGraphicFramePr>
        <xdr:cNvPr id="16" name="Chart 15">
          <a:extLst>
            <a:ext uri="{FF2B5EF4-FFF2-40B4-BE49-F238E27FC236}">
              <a16:creationId xmlns:a16="http://schemas.microsoft.com/office/drawing/2014/main" id="{ECA5621D-6E1E-4E84-4228-C42F9142E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365760</xdr:colOff>
      <xdr:row>93</xdr:row>
      <xdr:rowOff>7620</xdr:rowOff>
    </xdr:from>
    <xdr:ext cx="2750820" cy="1470146"/>
    <xdr:sp macro="" textlink="">
      <xdr:nvSpPr>
        <xdr:cNvPr id="17" name="TextBox 16">
          <a:extLst>
            <a:ext uri="{FF2B5EF4-FFF2-40B4-BE49-F238E27FC236}">
              <a16:creationId xmlns:a16="http://schemas.microsoft.com/office/drawing/2014/main" id="{338D7E41-B134-F844-FCCD-7A572421EA27}"/>
            </a:ext>
          </a:extLst>
        </xdr:cNvPr>
        <xdr:cNvSpPr txBox="1"/>
      </xdr:nvSpPr>
      <xdr:spPr>
        <a:xfrm>
          <a:off x="365760" y="18249900"/>
          <a:ext cx="2750820" cy="147014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IN" sz="1100" b="1">
              <a:solidFill>
                <a:schemeClr val="tx1"/>
              </a:solidFill>
              <a:effectLst/>
              <a:latin typeface="+mn-lt"/>
              <a:ea typeface="+mn-ea"/>
              <a:cs typeface="+mn-cs"/>
            </a:rPr>
            <a:t>Task 5 Sub-Task 4: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Engagement_Summary_Clean Dataset.</a:t>
          </a:r>
          <a:endParaRPr lang="en-IN">
            <a:effectLst/>
          </a:endParaRPr>
        </a:p>
        <a:p>
          <a:r>
            <a:rPr lang="en-IN" sz="1100" baseline="0">
              <a:solidFill>
                <a:schemeClr val="tx1"/>
              </a:solidFill>
              <a:effectLst/>
              <a:latin typeface="+mn-lt"/>
              <a:ea typeface="+mn-ea"/>
              <a:cs typeface="+mn-cs"/>
            </a:rPr>
            <a:t>2. Added Campaign_Name column in rows field and Follower Growth in values, aggregation is Summation.</a:t>
          </a:r>
          <a:endParaRPr lang="en-IN">
            <a:effectLst/>
          </a:endParaRPr>
        </a:p>
        <a:p>
          <a:r>
            <a:rPr lang="en-IN" sz="1100" baseline="0">
              <a:solidFill>
                <a:schemeClr val="tx1"/>
              </a:solidFill>
              <a:effectLst/>
              <a:latin typeface="+mn-lt"/>
              <a:ea typeface="+mn-ea"/>
              <a:cs typeface="+mn-cs"/>
            </a:rPr>
            <a:t>4. Sorted Net_Follower_Growth as Largest to Smallest.</a:t>
          </a:r>
          <a:endParaRPr lang="en-IN">
            <a:effectLst/>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350520</xdr:colOff>
      <xdr:row>6</xdr:row>
      <xdr:rowOff>171450</xdr:rowOff>
    </xdr:from>
    <xdr:to>
      <xdr:col>8</xdr:col>
      <xdr:colOff>22860</xdr:colOff>
      <xdr:row>21</xdr:row>
      <xdr:rowOff>171450</xdr:rowOff>
    </xdr:to>
    <xdr:graphicFrame macro="">
      <xdr:nvGraphicFramePr>
        <xdr:cNvPr id="2" name="Chart 1">
          <a:extLst>
            <a:ext uri="{FF2B5EF4-FFF2-40B4-BE49-F238E27FC236}">
              <a16:creationId xmlns:a16="http://schemas.microsoft.com/office/drawing/2014/main" id="{D178AA6F-35E9-66BC-BE65-5A2E523EA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228600</xdr:colOff>
      <xdr:row>11</xdr:row>
      <xdr:rowOff>7621</xdr:rowOff>
    </xdr:from>
    <xdr:to>
      <xdr:col>10</xdr:col>
      <xdr:colOff>289560</xdr:colOff>
      <xdr:row>19</xdr:row>
      <xdr:rowOff>76201</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565CB4E0-E1DD-C000-D391-FB5F802B7439}"/>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601200" y="2019301"/>
              <a:ext cx="128016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434340</xdr:colOff>
      <xdr:row>43</xdr:row>
      <xdr:rowOff>7621</xdr:rowOff>
    </xdr:from>
    <xdr:to>
      <xdr:col>10</xdr:col>
      <xdr:colOff>586740</xdr:colOff>
      <xdr:row>51</xdr:row>
      <xdr:rowOff>30481</xdr:rowOff>
    </xdr:to>
    <mc:AlternateContent xmlns:mc="http://schemas.openxmlformats.org/markup-compatibility/2006" xmlns:a14="http://schemas.microsoft.com/office/drawing/2010/main">
      <mc:Choice Requires="a14">
        <xdr:graphicFrame macro="">
          <xdr:nvGraphicFramePr>
            <xdr:cNvPr id="6" name="Platform 2">
              <a:extLst>
                <a:ext uri="{FF2B5EF4-FFF2-40B4-BE49-F238E27FC236}">
                  <a16:creationId xmlns:a16="http://schemas.microsoft.com/office/drawing/2014/main" id="{5C3C66A1-51D3-E65A-42A0-1935A214D2D4}"/>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9806940" y="8374381"/>
              <a:ext cx="13716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708660</xdr:colOff>
      <xdr:row>41</xdr:row>
      <xdr:rowOff>0</xdr:rowOff>
    </xdr:from>
    <xdr:to>
      <xdr:col>8</xdr:col>
      <xdr:colOff>53340</xdr:colOff>
      <xdr:row>58</xdr:row>
      <xdr:rowOff>45720</xdr:rowOff>
    </xdr:to>
    <xdr:graphicFrame macro="">
      <xdr:nvGraphicFramePr>
        <xdr:cNvPr id="7" name="Chart 6">
          <a:extLst>
            <a:ext uri="{FF2B5EF4-FFF2-40B4-BE49-F238E27FC236}">
              <a16:creationId xmlns:a16="http://schemas.microsoft.com/office/drawing/2014/main" id="{7239DD29-67C9-505D-BD01-01780BE46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152400</xdr:colOff>
      <xdr:row>3</xdr:row>
      <xdr:rowOff>0</xdr:rowOff>
    </xdr:from>
    <xdr:ext cx="4210961" cy="405432"/>
    <xdr:sp macro="" textlink="">
      <xdr:nvSpPr>
        <xdr:cNvPr id="9" name="TextBox 8">
          <a:extLst>
            <a:ext uri="{FF2B5EF4-FFF2-40B4-BE49-F238E27FC236}">
              <a16:creationId xmlns:a16="http://schemas.microsoft.com/office/drawing/2014/main" id="{7D599E4B-3378-8056-2D75-0899A78AD68F}"/>
            </a:ext>
          </a:extLst>
        </xdr:cNvPr>
        <xdr:cNvSpPr txBox="1"/>
      </xdr:nvSpPr>
      <xdr:spPr>
        <a:xfrm>
          <a:off x="3505200" y="548640"/>
          <a:ext cx="4210961"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Weekly follower Growth per Platform</a:t>
          </a:r>
        </a:p>
      </xdr:txBody>
    </xdr:sp>
    <xdr:clientData/>
  </xdr:oneCellAnchor>
  <xdr:oneCellAnchor>
    <xdr:from>
      <xdr:col>3</xdr:col>
      <xdr:colOff>1021080</xdr:colOff>
      <xdr:row>37</xdr:row>
      <xdr:rowOff>38100</xdr:rowOff>
    </xdr:from>
    <xdr:ext cx="3437351" cy="405432"/>
    <xdr:sp macro="" textlink="">
      <xdr:nvSpPr>
        <xdr:cNvPr id="10" name="TextBox 9">
          <a:extLst>
            <a:ext uri="{FF2B5EF4-FFF2-40B4-BE49-F238E27FC236}">
              <a16:creationId xmlns:a16="http://schemas.microsoft.com/office/drawing/2014/main" id="{1B5EE263-1770-2416-8020-81FF0918F476}"/>
            </a:ext>
          </a:extLst>
        </xdr:cNvPr>
        <xdr:cNvSpPr txBox="1"/>
      </xdr:nvSpPr>
      <xdr:spPr>
        <a:xfrm>
          <a:off x="4373880" y="6210300"/>
          <a:ext cx="3437351"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Ad_Spend Vs Follower</a:t>
          </a:r>
          <a:r>
            <a:rPr lang="en-IN" sz="2000" b="1" baseline="0"/>
            <a:t> Growth</a:t>
          </a:r>
          <a:endParaRPr lang="en-IN" sz="2000" b="1"/>
        </a:p>
      </xdr:txBody>
    </xdr:sp>
    <xdr:clientData/>
  </xdr:oneCellAnchor>
  <xdr:oneCellAnchor>
    <xdr:from>
      <xdr:col>5</xdr:col>
      <xdr:colOff>594360</xdr:colOff>
      <xdr:row>23</xdr:row>
      <xdr:rowOff>15241</xdr:rowOff>
    </xdr:from>
    <xdr:ext cx="3360420" cy="2049780"/>
    <xdr:sp macro="" textlink="">
      <xdr:nvSpPr>
        <xdr:cNvPr id="11" name="TextBox 10">
          <a:extLst>
            <a:ext uri="{FF2B5EF4-FFF2-40B4-BE49-F238E27FC236}">
              <a16:creationId xmlns:a16="http://schemas.microsoft.com/office/drawing/2014/main" id="{C34015A6-EB0E-DF8D-D300-48E8106C4BCB}"/>
            </a:ext>
          </a:extLst>
        </xdr:cNvPr>
        <xdr:cNvSpPr txBox="1"/>
      </xdr:nvSpPr>
      <xdr:spPr>
        <a:xfrm>
          <a:off x="6172200" y="4221481"/>
          <a:ext cx="3360420" cy="20497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100" b="1">
              <a:solidFill>
                <a:schemeClr val="tx1"/>
              </a:solidFill>
              <a:effectLst/>
              <a:latin typeface="+mn-lt"/>
              <a:ea typeface="+mn-ea"/>
              <a:cs typeface="+mn-cs"/>
            </a:rPr>
            <a:t>Task 6 Sub-Task 1: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Engagement_Summary_Clean Dataset.</a:t>
          </a:r>
          <a:endParaRPr lang="en-IN">
            <a:effectLst/>
          </a:endParaRPr>
        </a:p>
        <a:p>
          <a:r>
            <a:rPr lang="en-IN" sz="1100" baseline="0">
              <a:solidFill>
                <a:schemeClr val="tx1"/>
              </a:solidFill>
              <a:effectLst/>
              <a:latin typeface="+mn-lt"/>
              <a:ea typeface="+mn-ea"/>
              <a:cs typeface="+mn-cs"/>
            </a:rPr>
            <a:t>2. Added Week_Start_Date column in rows field and Follower_Growth in values, aggregation is Summation.</a:t>
          </a:r>
          <a:endParaRPr lang="en-IN">
            <a:effectLst/>
          </a:endParaRPr>
        </a:p>
        <a:p>
          <a:r>
            <a:rPr lang="en-IN" sz="1100" baseline="0">
              <a:solidFill>
                <a:schemeClr val="tx1"/>
              </a:solidFill>
              <a:effectLst/>
              <a:latin typeface="+mn-lt"/>
              <a:ea typeface="+mn-ea"/>
              <a:cs typeface="+mn-cs"/>
            </a:rPr>
            <a:t>3. Added Slicer on the Pivot Table, and chose Platform as filter.</a:t>
          </a:r>
          <a:endParaRPr lang="en-IN">
            <a:effectLst/>
          </a:endParaRPr>
        </a:p>
        <a:p>
          <a:r>
            <a:rPr lang="en-IN" sz="1100" baseline="0">
              <a:solidFill>
                <a:schemeClr val="tx1"/>
              </a:solidFill>
              <a:effectLst/>
              <a:latin typeface="+mn-lt"/>
              <a:ea typeface="+mn-ea"/>
              <a:cs typeface="+mn-cs"/>
            </a:rPr>
            <a:t>4. Inserted Line chart for the Table to Analyze Follower Growth.</a:t>
          </a:r>
        </a:p>
        <a:p>
          <a:r>
            <a:rPr lang="en-IN" sz="1100" baseline="0">
              <a:solidFill>
                <a:schemeClr val="tx1"/>
              </a:solidFill>
              <a:effectLst/>
              <a:latin typeface="+mn-lt"/>
              <a:ea typeface="+mn-ea"/>
              <a:cs typeface="+mn-cs"/>
            </a:rPr>
            <a:t>5. Added 3 period moving average to the chart as per industry standards.</a:t>
          </a:r>
          <a:endParaRPr lang="en-IN">
            <a:effectLst/>
          </a:endParaRPr>
        </a:p>
        <a:p>
          <a:endParaRPr lang="en-IN" sz="1100"/>
        </a:p>
      </xdr:txBody>
    </xdr:sp>
    <xdr:clientData/>
  </xdr:oneCellAnchor>
  <xdr:oneCellAnchor>
    <xdr:from>
      <xdr:col>4</xdr:col>
      <xdr:colOff>15240</xdr:colOff>
      <xdr:row>60</xdr:row>
      <xdr:rowOff>0</xdr:rowOff>
    </xdr:from>
    <xdr:ext cx="4876801" cy="1642373"/>
    <xdr:sp macro="" textlink="">
      <xdr:nvSpPr>
        <xdr:cNvPr id="12" name="TextBox 11">
          <a:extLst>
            <a:ext uri="{FF2B5EF4-FFF2-40B4-BE49-F238E27FC236}">
              <a16:creationId xmlns:a16="http://schemas.microsoft.com/office/drawing/2014/main" id="{527687D9-AA9C-D7FC-E0B3-0182AF5CF647}"/>
            </a:ext>
          </a:extLst>
        </xdr:cNvPr>
        <xdr:cNvSpPr txBox="1"/>
      </xdr:nvSpPr>
      <xdr:spPr>
        <a:xfrm>
          <a:off x="4480560" y="11475720"/>
          <a:ext cx="4876801" cy="164237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IN" sz="1100" b="1">
              <a:solidFill>
                <a:schemeClr val="tx1"/>
              </a:solidFill>
              <a:effectLst/>
              <a:latin typeface="+mn-lt"/>
              <a:ea typeface="+mn-ea"/>
              <a:cs typeface="+mn-cs"/>
            </a:rPr>
            <a:t>Task 6 Sub-Task 2: </a:t>
          </a:r>
          <a:endParaRPr lang="en-IN">
            <a:effectLst/>
          </a:endParaRPr>
        </a:p>
        <a:p>
          <a:r>
            <a:rPr lang="en-IN" sz="1100">
              <a:solidFill>
                <a:schemeClr val="tx1"/>
              </a:solidFill>
              <a:effectLst/>
              <a:latin typeface="+mn-lt"/>
              <a:ea typeface="+mn-ea"/>
              <a:cs typeface="+mn-cs"/>
            </a:rPr>
            <a:t>1. Created Pivot Table on </a:t>
          </a:r>
          <a:r>
            <a:rPr lang="en-IN" sz="1100" baseline="0">
              <a:solidFill>
                <a:schemeClr val="tx1"/>
              </a:solidFill>
              <a:effectLst/>
              <a:latin typeface="+mn-lt"/>
              <a:ea typeface="+mn-ea"/>
              <a:cs typeface="+mn-cs"/>
            </a:rPr>
            <a:t>Engagement_Summary_Clean Dataset.</a:t>
          </a:r>
          <a:endParaRPr lang="en-IN">
            <a:effectLst/>
          </a:endParaRPr>
        </a:p>
        <a:p>
          <a:r>
            <a:rPr lang="en-IN" sz="1100" baseline="0">
              <a:solidFill>
                <a:schemeClr val="tx1"/>
              </a:solidFill>
              <a:effectLst/>
              <a:latin typeface="+mn-lt"/>
              <a:ea typeface="+mn-ea"/>
              <a:cs typeface="+mn-cs"/>
            </a:rPr>
            <a:t>2. Added Platform and Week_Start_Date columns in rows field and Follower_Growth and Ad_Spend in values, aggregation is Summation.</a:t>
          </a:r>
        </a:p>
        <a:p>
          <a:r>
            <a:rPr lang="en-IN" sz="1100" baseline="0">
              <a:solidFill>
                <a:schemeClr val="tx1"/>
              </a:solidFill>
              <a:effectLst/>
              <a:latin typeface="+mn-lt"/>
              <a:ea typeface="+mn-ea"/>
              <a:cs typeface="+mn-cs"/>
            </a:rPr>
            <a:t>3. Removed all Date Aggregations such as Years, Quarters, Week, kept only month.</a:t>
          </a:r>
          <a:endParaRPr lang="en-IN">
            <a:effectLst/>
          </a:endParaRPr>
        </a:p>
        <a:p>
          <a:r>
            <a:rPr lang="en-IN" sz="1100" baseline="0">
              <a:solidFill>
                <a:schemeClr val="tx1"/>
              </a:solidFill>
              <a:effectLst/>
              <a:latin typeface="+mn-lt"/>
              <a:ea typeface="+mn-ea"/>
              <a:cs typeface="+mn-cs"/>
            </a:rPr>
            <a:t>3. Added Slicer on the Pivot Table, and chose Platform as filter.</a:t>
          </a:r>
          <a:endParaRPr lang="en-IN">
            <a:effectLst/>
          </a:endParaRPr>
        </a:p>
        <a:p>
          <a:r>
            <a:rPr lang="en-IN" sz="1100" baseline="0">
              <a:solidFill>
                <a:schemeClr val="tx1"/>
              </a:solidFill>
              <a:effectLst/>
              <a:latin typeface="+mn-lt"/>
              <a:ea typeface="+mn-ea"/>
              <a:cs typeface="+mn-cs"/>
            </a:rPr>
            <a:t>4. Inserted Scatter chart for the Table to Analyze Follower Growth as we increase Ad_Spend.</a:t>
          </a:r>
          <a:endParaRPr lang="en-IN">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4.617211226854" createdVersion="8" refreshedVersion="8" minRefreshableVersion="3" recordCount="300" xr:uid="{3FDB63F6-D33F-49E1-91F4-7562671094A4}">
  <cacheSource type="worksheet">
    <worksheetSource name="Post_Clean"/>
  </cacheSource>
  <cacheFields count="16">
    <cacheField name="Post ID" numFmtId="0">
      <sharedItems count="3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Campaign_Name" numFmtId="0">
      <sharedItems count="4">
        <s v="FashionUpgrade"/>
        <s v="EndOfSeasonSale"/>
        <s v="MyntraFestiveEdit"/>
        <s v="StyleRevolution"/>
      </sharedItems>
    </cacheField>
    <cacheField name="Engagement Rate" numFmtId="2">
      <sharedItems containsSemiMixedTypes="0" containsString="0" containsNumber="1" minValue="5.2551586421122697E-2" maxValue="1.8129251700680271"/>
    </cacheField>
    <cacheField name="Week_Start_Date" numFmtId="14">
      <sharedItems containsSemiMixedTypes="0" containsNonDate="0" containsDate="1" containsString="0" minDate="2024-05-26T00:00:00" maxDate="2025-05-12T00:00:00"/>
    </cacheField>
    <cacheField name="Campaign_Phase" numFmtId="0">
      <sharedItems/>
    </cacheField>
  </cacheFields>
  <extLst>
    <ext xmlns:x14="http://schemas.microsoft.com/office/spreadsheetml/2009/9/main" uri="{725AE2AE-9491-48be-B2B4-4EB974FC3084}">
      <x14:pivotCacheDefinition pivotCacheId="16998570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4.617213194448" createdVersion="8" refreshedVersion="8" minRefreshableVersion="3" recordCount="456" xr:uid="{A91FC90A-1073-434E-BDD8-419ABB8D6290}">
  <cacheSource type="worksheet">
    <worksheetSource name="Hashtag_Data_Clean"/>
  </cacheSource>
  <cacheFields count="14">
    <cacheField name="Post ID" numFmtId="0">
      <sharedItems count="3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5">
        <s v="#MyntraSale"/>
        <s v="#MyntraFashion"/>
        <s v="#StyleWithMyntra"/>
        <s v="#MyntraTrend"/>
        <s v="#FashionDeals"/>
      </sharedItems>
    </cacheField>
    <cacheField name="Campaign_Name" numFmtId="0">
      <sharedItems/>
    </cacheField>
    <cacheField name="Engagement" numFmtId="9">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4.756693402778" createdVersion="8" refreshedVersion="8" minRefreshableVersion="3" recordCount="200" xr:uid="{3D555439-C843-43B3-9714-865C60FFD188}">
  <cacheSource type="worksheet">
    <worksheetSource name="Engagment_Summary_Clean"/>
  </cacheSource>
  <cacheFields count="17">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4"/>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Follower_Growth" numFmtId="0">
      <sharedItems containsSemiMixedTypes="0" containsString="0" containsNumber="1" containsInteger="1" minValue="-337" maxValue="1881"/>
    </cacheField>
    <cacheField name="Ad_Spend" numFmtId="0">
      <sharedItems containsSemiMixedTypes="0" containsString="0" containsNumber="1" containsInteger="1" minValue="1083" maxValue="49772"/>
    </cacheField>
    <cacheField name="Follower Growth Rate" numFmtId="9">
      <sharedItems containsSemiMixedTypes="0" containsString="0" containsNumber="1" minValue="-4.0819787301048958E-3" maxValue="0.10825114265095021"/>
    </cacheField>
    <cacheField name="Campaign_Phase" numFmtId="0">
      <sharedItems count="5">
        <s v="Before Campaign"/>
        <s v="During Campaign"/>
        <s v="NA"/>
        <s v="After Campaign" u="1"/>
        <s v="Outside Campaign" u="1"/>
      </sharedItems>
    </cacheField>
    <cacheField name="Campaign_Name" numFmtId="0">
      <sharedItems count="5">
        <s v="EndOfSeasonSale"/>
        <s v="FashionUpgrade"/>
        <s v="NA"/>
        <s v="MyntraFestiveEdit"/>
        <s v="StyleRevolution"/>
      </sharedItems>
    </cacheField>
    <cacheField name="ROI" numFmtId="0">
      <sharedItems containsSemiMixedTypes="0" containsString="0" containsNumber="1" minValue="3.117549972492206E-3" maxValue="0.29350196249454863"/>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 name="ROI " numFmtId="0" formula="Engagement_Rate/Ad_Spend" databaseField="0"/>
    <cacheField name="Net Follower Growth" numFmtId="0" formula=" (New_Followers-Unfollows) /Total_Followers" databaseField="0"/>
  </cacheFields>
  <extLst>
    <ext xmlns:x14="http://schemas.microsoft.com/office/spreadsheetml/2009/9/main" uri="{725AE2AE-9491-48be-B2B4-4EB974FC3084}">
      <x14:pivotCacheDefinition pivotCacheId="1731730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4-12-23T00:00:00"/>
    <x v="0"/>
    <s v="Explore the latest reel on Myntra! Trendy styles await."/>
    <n v="1461"/>
    <n v="184"/>
    <n v="344"/>
    <n v="21915"/>
    <n v="21675"/>
    <n v="15"/>
    <s v="#MyntraSale"/>
    <x v="0"/>
    <n v="9.0759753593429152E-2"/>
    <d v="2024-12-22T00:00:00"/>
    <s v="Before Campaign"/>
  </r>
  <r>
    <x v="1"/>
    <x v="0"/>
    <d v="2025-04-03T00:00:00"/>
    <x v="1"/>
    <s v="Explore the latest text on Myntra! Trendy styles await."/>
    <n v="4054"/>
    <n v="389"/>
    <n v="493"/>
    <n v="64864"/>
    <n v="64383"/>
    <n v="117"/>
    <s v="#MyntraFashion"/>
    <x v="1"/>
    <n v="7.6097681302417369E-2"/>
    <d v="2025-03-30T00:00:00"/>
    <s v="Outside Campaign"/>
  </r>
  <r>
    <x v="2"/>
    <x v="1"/>
    <d v="2025-05-12T00:00:00"/>
    <x v="0"/>
    <s v="Explore the latest reel on Myntra! Trendy styles await."/>
    <n v="2795"/>
    <n v="105"/>
    <n v="49"/>
    <n v="53105"/>
    <n v="52307"/>
    <n v="204"/>
    <s v="#MyntraFashion,#MyntraSale"/>
    <x v="0"/>
    <n v="5.5531494209584788E-2"/>
    <d v="2025-05-11T00:00:00"/>
    <s v="Outside Campaign"/>
  </r>
  <r>
    <x v="3"/>
    <x v="2"/>
    <d v="2024-08-12T00:00:00"/>
    <x v="2"/>
    <s v="Explore the latest story on Myntra! Trendy styles await."/>
    <n v="2404"/>
    <n v="363"/>
    <n v="138"/>
    <n v="19232"/>
    <n v="18636"/>
    <n v="128"/>
    <s v="#MyntraSale"/>
    <x v="0"/>
    <n v="0.15105033277870217"/>
    <d v="2024-08-11T00:00:00"/>
    <s v="During Campaign"/>
  </r>
  <r>
    <x v="4"/>
    <x v="1"/>
    <d v="2024-06-26T00:00:00"/>
    <x v="0"/>
    <s v="Explore the latest reel on Myntra! Trendy styles await."/>
    <n v="3557"/>
    <n v="687"/>
    <n v="424"/>
    <n v="71140"/>
    <n v="70701"/>
    <n v="224"/>
    <s v="#StyleWithMyntra,#MyntraFashion"/>
    <x v="2"/>
    <n v="6.5617093055946027E-2"/>
    <d v="2024-06-23T00:00:00"/>
    <s v="During Campaign"/>
  </r>
  <r>
    <x v="5"/>
    <x v="3"/>
    <d v="2024-10-31T00:00:00"/>
    <x v="3"/>
    <s v="Explore the latest carousel on Myntra! Trendy styles await."/>
    <n v="2945"/>
    <n v="930"/>
    <n v="355"/>
    <n v="23560"/>
    <n v="23275"/>
    <n v="256"/>
    <s v="#MyntraTrend"/>
    <x v="1"/>
    <n v="0.17954159592529711"/>
    <d v="2024-10-27T00:00:00"/>
    <s v="During Campaign"/>
  </r>
  <r>
    <x v="6"/>
    <x v="0"/>
    <d v="2024-06-24T00:00:00"/>
    <x v="3"/>
    <s v="Explore the latest carousel on Myntra! Trendy styles await."/>
    <n v="3860"/>
    <n v="201"/>
    <n v="279"/>
    <n v="61760"/>
    <n v="61660"/>
    <n v="235"/>
    <s v="#MyntraTrend"/>
    <x v="2"/>
    <n v="7.0272020725388601E-2"/>
    <d v="2024-06-23T00:00:00"/>
    <s v="During Campaign"/>
  </r>
  <r>
    <x v="7"/>
    <x v="1"/>
    <d v="2024-07-13T00:00:00"/>
    <x v="4"/>
    <s v="Explore the latest image on Myntra! Trendy styles await."/>
    <n v="3929"/>
    <n v="262"/>
    <n v="278"/>
    <n v="43219"/>
    <n v="42841"/>
    <n v="39"/>
    <s v="#MyntraFashion,#MyntraSale"/>
    <x v="2"/>
    <n v="0.10340359564080613"/>
    <d v="2024-07-07T00:00:00"/>
    <s v="Before Campaign"/>
  </r>
  <r>
    <x v="8"/>
    <x v="3"/>
    <d v="2024-08-30T00:00:00"/>
    <x v="1"/>
    <s v="Explore the latest text on Myntra! Trendy styles await."/>
    <n v="3784"/>
    <n v="808"/>
    <n v="404"/>
    <n v="56760"/>
    <n v="56343"/>
    <n v="131"/>
    <s v="#MyntraFashion,#MyntraSale"/>
    <x v="2"/>
    <n v="8.8019732205778717E-2"/>
    <d v="2024-08-25T00:00:00"/>
    <s v="During Campaign"/>
  </r>
  <r>
    <x v="9"/>
    <x v="3"/>
    <d v="2025-03-11T00:00:00"/>
    <x v="4"/>
    <s v="Explore the latest image on Myntra! Trendy styles await."/>
    <n v="4241"/>
    <n v="902"/>
    <n v="47"/>
    <n v="72097"/>
    <n v="71598"/>
    <n v="167"/>
    <s v="#MyntraTrend"/>
    <x v="3"/>
    <n v="7.198635172059864E-2"/>
    <d v="2025-03-09T00:00:00"/>
    <s v="Outside Campaign"/>
  </r>
  <r>
    <x v="10"/>
    <x v="2"/>
    <d v="2025-02-02T00:00:00"/>
    <x v="2"/>
    <s v="Explore the latest story on Myntra! Trendy styles await."/>
    <n v="1792"/>
    <n v="614"/>
    <n v="497"/>
    <n v="25088"/>
    <n v="24675"/>
    <n v="65"/>
    <s v="#StyleWithMyntra"/>
    <x v="0"/>
    <n v="0.11571269132653061"/>
    <d v="2025-02-02T00:00:00"/>
    <s v="During Campaign"/>
  </r>
  <r>
    <x v="11"/>
    <x v="3"/>
    <d v="2024-07-21T00:00:00"/>
    <x v="0"/>
    <s v="Explore the latest reel on Myntra! Trendy styles await."/>
    <n v="1946"/>
    <n v="686"/>
    <n v="377"/>
    <n v="23352"/>
    <n v="22982"/>
    <n v="213"/>
    <s v="#StyleWithMyntra,#MyntraSale"/>
    <x v="2"/>
    <n v="0.12885405960945528"/>
    <d v="2024-07-21T00:00:00"/>
    <s v="Before Campaign"/>
  </r>
  <r>
    <x v="12"/>
    <x v="1"/>
    <d v="2024-11-18T00:00:00"/>
    <x v="3"/>
    <s v="Explore the latest carousel on Myntra! Trendy styles await."/>
    <n v="1171"/>
    <n v="286"/>
    <n v="231"/>
    <n v="22249"/>
    <n v="21282"/>
    <n v="114"/>
    <s v="#MyntraFashion"/>
    <x v="3"/>
    <n v="7.5868578363072495E-2"/>
    <d v="2024-11-17T00:00:00"/>
    <s v="Outside Campaign"/>
  </r>
  <r>
    <x v="13"/>
    <x v="3"/>
    <d v="2025-02-16T00:00:00"/>
    <x v="2"/>
    <s v="Explore the latest story on Myntra! Trendy styles await."/>
    <n v="4242"/>
    <n v="555"/>
    <n v="131"/>
    <n v="33936"/>
    <n v="33802"/>
    <n v="265"/>
    <s v="#MyntraSale,#MyntraFashion"/>
    <x v="2"/>
    <n v="0.14521452145214522"/>
    <d v="2025-02-16T00:00:00"/>
    <s v="Outside Campaign"/>
  </r>
  <r>
    <x v="14"/>
    <x v="3"/>
    <d v="2024-10-24T00:00:00"/>
    <x v="5"/>
    <s v="Explore the latest video on Myntra! Trendy styles await."/>
    <n v="3888"/>
    <n v="604"/>
    <n v="128"/>
    <n v="77760"/>
    <n v="77167"/>
    <n v="20"/>
    <s v="#MyntraFashion,#FashionDeals"/>
    <x v="0"/>
    <n v="5.941358024691358E-2"/>
    <d v="2024-10-20T00:00:00"/>
    <s v="During Campaign"/>
  </r>
  <r>
    <x v="15"/>
    <x v="3"/>
    <d v="2024-08-26T00:00:00"/>
    <x v="1"/>
    <s v="Explore the latest text on Myntra! Trendy styles await."/>
    <n v="3452"/>
    <n v="377"/>
    <n v="360"/>
    <n v="55232"/>
    <n v="55075"/>
    <n v="87"/>
    <s v="#MyntraSale,#FashionDeals"/>
    <x v="2"/>
    <n v="7.5843713789107758E-2"/>
    <d v="2024-08-25T00:00:00"/>
    <s v="During Campaign"/>
  </r>
  <r>
    <x v="16"/>
    <x v="3"/>
    <d v="2025-05-05T00:00:00"/>
    <x v="1"/>
    <s v="Explore the latest text on Myntra! Trendy styles await."/>
    <n v="4441"/>
    <n v="511"/>
    <n v="70"/>
    <n v="53292"/>
    <n v="53082"/>
    <n v="159"/>
    <s v="#FashionDeals"/>
    <x v="2"/>
    <n v="9.4235532537716729E-2"/>
    <d v="2025-05-04T00:00:00"/>
    <s v="Outside Campaign"/>
  </r>
  <r>
    <x v="17"/>
    <x v="2"/>
    <d v="2024-08-19T00:00:00"/>
    <x v="0"/>
    <s v="Explore the latest reel on Myntra! Trendy styles await."/>
    <n v="3000"/>
    <n v="382"/>
    <n v="325"/>
    <n v="36000"/>
    <n v="35819"/>
    <n v="19"/>
    <s v="#StyleWithMyntra"/>
    <x v="1"/>
    <n v="0.10297222222222223"/>
    <d v="2024-08-18T00:00:00"/>
    <s v="During Campaign"/>
  </r>
  <r>
    <x v="18"/>
    <x v="2"/>
    <d v="2024-06-23T00:00:00"/>
    <x v="5"/>
    <s v="Explore the latest video on Myntra! Trendy styles await."/>
    <n v="1071"/>
    <n v="519"/>
    <n v="22"/>
    <n v="16065"/>
    <n v="15865"/>
    <n v="103"/>
    <s v="#MyntraSale,#StyleWithMyntra"/>
    <x v="2"/>
    <n v="0.10034235916588857"/>
    <d v="2024-06-23T00:00:00"/>
    <s v="During Campaign"/>
  </r>
  <r>
    <x v="19"/>
    <x v="2"/>
    <d v="2024-09-09T00:00:00"/>
    <x v="3"/>
    <s v="Explore the latest carousel on Myntra! Trendy styles await."/>
    <n v="4054"/>
    <n v="488"/>
    <n v="373"/>
    <n v="77026"/>
    <n v="76881"/>
    <n v="25"/>
    <s v="#MyntraFashion,#MyntraSale"/>
    <x v="2"/>
    <n v="6.3809622724794221E-2"/>
    <d v="2024-09-08T00:00:00"/>
    <s v="Before Campaign"/>
  </r>
  <r>
    <x v="20"/>
    <x v="2"/>
    <d v="2025-01-04T00:00:00"/>
    <x v="0"/>
    <s v="Explore the latest reel on Myntra! Trendy styles await."/>
    <n v="4838"/>
    <n v="640"/>
    <n v="128"/>
    <n v="72570"/>
    <n v="72396"/>
    <n v="83"/>
    <s v="#StyleWithMyntra,#MyntraTrend"/>
    <x v="2"/>
    <n v="7.7249552156538517E-2"/>
    <d v="2024-12-29T00:00:00"/>
    <s v="Before Campaign"/>
  </r>
  <r>
    <x v="21"/>
    <x v="3"/>
    <d v="2025-02-27T00:00:00"/>
    <x v="1"/>
    <s v="Explore the latest text on Myntra! Trendy styles await."/>
    <n v="1570"/>
    <n v="187"/>
    <n v="260"/>
    <n v="25120"/>
    <n v="24613"/>
    <n v="133"/>
    <s v="#MyntraSale"/>
    <x v="3"/>
    <n v="8.0294585987261149E-2"/>
    <d v="2025-02-23T00:00:00"/>
    <s v="Outside Campaign"/>
  </r>
  <r>
    <x v="22"/>
    <x v="3"/>
    <d v="2024-11-06T00:00:00"/>
    <x v="5"/>
    <s v="Explore the latest video on Myntra! Trendy styles await."/>
    <n v="1606"/>
    <n v="547"/>
    <n v="316"/>
    <n v="32120"/>
    <n v="31736"/>
    <n v="225"/>
    <s v="#MyntraSale"/>
    <x v="2"/>
    <n v="7.6867995018679955E-2"/>
    <d v="2024-11-03T00:00:00"/>
    <s v="Outside Campaign"/>
  </r>
  <r>
    <x v="23"/>
    <x v="3"/>
    <d v="2025-01-23T00:00:00"/>
    <x v="5"/>
    <s v="Explore the latest video on Myntra! Trendy styles await."/>
    <n v="3961"/>
    <n v="761"/>
    <n v="131"/>
    <n v="67337"/>
    <n v="66615"/>
    <n v="161"/>
    <s v="#MyntraTrend"/>
    <x v="1"/>
    <n v="7.2070332803659209E-2"/>
    <d v="2025-01-19T00:00:00"/>
    <s v="During Campaign"/>
  </r>
  <r>
    <x v="24"/>
    <x v="0"/>
    <d v="2025-04-10T00:00:00"/>
    <x v="3"/>
    <s v="Explore the latest carousel on Myntra! Trendy styles await."/>
    <n v="3128"/>
    <n v="211"/>
    <n v="197"/>
    <n v="59432"/>
    <n v="59182"/>
    <n v="238"/>
    <s v="#StyleWithMyntra,#MyntraSale"/>
    <x v="0"/>
    <n v="5.9496567505720827E-2"/>
    <d v="2025-04-06T00:00:00"/>
    <s v="Outside Campaign"/>
  </r>
  <r>
    <x v="25"/>
    <x v="1"/>
    <d v="2025-04-05T00:00:00"/>
    <x v="0"/>
    <s v="Explore the latest reel on Myntra! Trendy styles await."/>
    <n v="3009"/>
    <n v="413"/>
    <n v="358"/>
    <n v="42126"/>
    <n v="41309"/>
    <n v="211"/>
    <s v="#MyntraSale"/>
    <x v="1"/>
    <n v="8.9730807577268201E-2"/>
    <d v="2025-03-30T00:00:00"/>
    <s v="Outside Campaign"/>
  </r>
  <r>
    <x v="26"/>
    <x v="1"/>
    <d v="2024-09-17T00:00:00"/>
    <x v="1"/>
    <s v="Explore the latest text on Myntra! Trendy styles await."/>
    <n v="2076"/>
    <n v="195"/>
    <n v="104"/>
    <n v="33216"/>
    <n v="32244"/>
    <n v="51"/>
    <s v="#MyntraTrend"/>
    <x v="3"/>
    <n v="7.1501685934489398E-2"/>
    <d v="2024-09-15T00:00:00"/>
    <s v="Before Campaign"/>
  </r>
  <r>
    <x v="27"/>
    <x v="2"/>
    <d v="2025-03-04T00:00:00"/>
    <x v="5"/>
    <s v="Explore the latest video on Myntra! Trendy styles await."/>
    <n v="432"/>
    <n v="624"/>
    <n v="123"/>
    <n v="6912"/>
    <n v="6259"/>
    <n v="79"/>
    <s v="#MyntraSale,#MyntraTrend"/>
    <x v="1"/>
    <n v="0.17057291666666666"/>
    <d v="2025-03-02T00:00:00"/>
    <s v="Outside Campaign"/>
  </r>
  <r>
    <x v="28"/>
    <x v="2"/>
    <d v="2025-01-31T00:00:00"/>
    <x v="3"/>
    <s v="Explore the latest carousel on Myntra! Trendy styles await."/>
    <n v="2566"/>
    <n v="118"/>
    <n v="37"/>
    <n v="12830"/>
    <n v="12264"/>
    <n v="221"/>
    <s v="#MyntraTrend,#MyntraFashion"/>
    <x v="2"/>
    <n v="0.21208106001558846"/>
    <d v="2025-01-26T00:00:00"/>
    <s v="During Campaign"/>
  </r>
  <r>
    <x v="29"/>
    <x v="2"/>
    <d v="2025-02-25T00:00:00"/>
    <x v="5"/>
    <s v="Explore the latest video on Myntra! Trendy styles await."/>
    <n v="3095"/>
    <n v="39"/>
    <n v="78"/>
    <n v="55710"/>
    <n v="54808"/>
    <n v="93"/>
    <s v="#MyntraSale"/>
    <x v="3"/>
    <n v="5.7655717106444085E-2"/>
    <d v="2025-02-23T00:00:00"/>
    <s v="Outside Campaign"/>
  </r>
  <r>
    <x v="30"/>
    <x v="2"/>
    <d v="2024-12-16T00:00:00"/>
    <x v="1"/>
    <s v="Explore the latest text on Myntra! Trendy styles await."/>
    <n v="438"/>
    <n v="153"/>
    <n v="275"/>
    <n v="3066"/>
    <n v="2701"/>
    <n v="282"/>
    <s v="#MyntraTrend"/>
    <x v="3"/>
    <n v="0.28245270711024134"/>
    <d v="2024-12-15T00:00:00"/>
    <s v="Before Campaign"/>
  </r>
  <r>
    <x v="31"/>
    <x v="0"/>
    <d v="2024-07-31T00:00:00"/>
    <x v="3"/>
    <s v="Explore the latest carousel on Myntra! Trendy styles await."/>
    <n v="2278"/>
    <n v="10"/>
    <n v="321"/>
    <n v="13668"/>
    <n v="12676"/>
    <n v="275"/>
    <s v="#MyntraTrend,#MyntraFashion"/>
    <x v="3"/>
    <n v="0.19088381621305239"/>
    <d v="2024-07-28T00:00:00"/>
    <s v="Before Campaign"/>
  </r>
  <r>
    <x v="32"/>
    <x v="3"/>
    <d v="2024-08-21T00:00:00"/>
    <x v="4"/>
    <s v="Explore the latest image on Myntra! Trendy styles await."/>
    <n v="1407"/>
    <n v="400"/>
    <n v="351"/>
    <n v="16884"/>
    <n v="15954"/>
    <n v="113"/>
    <s v="#MyntraFashion,#FashionDeals"/>
    <x v="2"/>
    <n v="0.12781331438047855"/>
    <d v="2024-08-18T00:00:00"/>
    <s v="During Campaign"/>
  </r>
  <r>
    <x v="33"/>
    <x v="3"/>
    <d v="2025-03-26T00:00:00"/>
    <x v="1"/>
    <s v="Explore the latest text on Myntra! Trendy styles await."/>
    <n v="1652"/>
    <n v="89"/>
    <n v="357"/>
    <n v="29736"/>
    <n v="28771"/>
    <n v="215"/>
    <s v="#MyntraTrend,#FashionDeals"/>
    <x v="1"/>
    <n v="7.055421038471886E-2"/>
    <d v="2025-03-23T00:00:00"/>
    <s v="Outside Campaign"/>
  </r>
  <r>
    <x v="34"/>
    <x v="2"/>
    <d v="2024-11-30T00:00:00"/>
    <x v="5"/>
    <s v="Explore the latest video on Myntra! Trendy styles await."/>
    <n v="3775"/>
    <n v="16"/>
    <n v="239"/>
    <n v="33975"/>
    <n v="33310"/>
    <n v="271"/>
    <s v="#StyleWithMyntra,#MyntraSale"/>
    <x v="2"/>
    <n v="0.11861662987490802"/>
    <d v="2024-11-24T00:00:00"/>
    <s v="Outside Campaign"/>
  </r>
  <r>
    <x v="35"/>
    <x v="2"/>
    <d v="2025-04-19T00:00:00"/>
    <x v="2"/>
    <s v="Explore the latest story on Myntra! Trendy styles await."/>
    <n v="4518"/>
    <n v="285"/>
    <n v="383"/>
    <n v="67770"/>
    <n v="67621"/>
    <n v="31"/>
    <s v="#FashionDeals"/>
    <x v="1"/>
    <n v="7.6523535487678915E-2"/>
    <d v="2025-04-13T00:00:00"/>
    <s v="Outside Campaign"/>
  </r>
  <r>
    <x v="36"/>
    <x v="3"/>
    <d v="2025-01-06T00:00:00"/>
    <x v="3"/>
    <s v="Explore the latest carousel on Myntra! Trendy styles await."/>
    <n v="3024"/>
    <n v="925"/>
    <n v="350"/>
    <n v="24192"/>
    <n v="23518"/>
    <n v="36"/>
    <s v="#MyntraSale"/>
    <x v="2"/>
    <n v="0.17770337301587302"/>
    <d v="2025-01-05T00:00:00"/>
    <s v="Before Campaign"/>
  </r>
  <r>
    <x v="37"/>
    <x v="1"/>
    <d v="2025-02-17T00:00:00"/>
    <x v="0"/>
    <s v="Explore the latest reel on Myntra! Trendy styles await."/>
    <n v="3138"/>
    <n v="123"/>
    <n v="291"/>
    <n v="28242"/>
    <n v="27550"/>
    <n v="87"/>
    <s v="#FashionDeals"/>
    <x v="3"/>
    <n v="0.12577012959422137"/>
    <d v="2025-02-16T00:00:00"/>
    <s v="Outside Campaign"/>
  </r>
  <r>
    <x v="38"/>
    <x v="3"/>
    <d v="2024-11-25T00:00:00"/>
    <x v="4"/>
    <s v="Explore the latest image on Myntra! Trendy styles await."/>
    <n v="3564"/>
    <n v="629"/>
    <n v="177"/>
    <n v="60588"/>
    <n v="59627"/>
    <n v="92"/>
    <s v="#FashionDeals,#MyntraSale"/>
    <x v="2"/>
    <n v="7.2126493695121141E-2"/>
    <d v="2024-11-24T00:00:00"/>
    <s v="Outside Campaign"/>
  </r>
  <r>
    <x v="39"/>
    <x v="0"/>
    <d v="2025-03-07T00:00:00"/>
    <x v="4"/>
    <s v="Explore the latest image on Myntra! Trendy styles await."/>
    <n v="4750"/>
    <n v="151"/>
    <n v="415"/>
    <n v="38000"/>
    <n v="37792"/>
    <n v="299"/>
    <s v="#StyleWithMyntra,#MyntraSale"/>
    <x v="1"/>
    <n v="0.13989473684210527"/>
    <d v="2025-03-02T00:00:00"/>
    <s v="Outside Campaign"/>
  </r>
  <r>
    <x v="40"/>
    <x v="2"/>
    <d v="2025-03-08T00:00:00"/>
    <x v="0"/>
    <s v="Explore the latest reel on Myntra! Trendy styles await."/>
    <n v="456"/>
    <n v="629"/>
    <n v="428"/>
    <n v="8208"/>
    <n v="7377"/>
    <n v="205"/>
    <s v="#MyntraSale,#FashionDeals"/>
    <x v="2"/>
    <n v="0.18433235867446393"/>
    <d v="2025-03-02T00:00:00"/>
    <s v="Outside Campaign"/>
  </r>
  <r>
    <x v="41"/>
    <x v="1"/>
    <d v="2025-03-05T00:00:00"/>
    <x v="0"/>
    <s v="Explore the latest reel on Myntra! Trendy styles await."/>
    <n v="1543"/>
    <n v="820"/>
    <n v="333"/>
    <n v="12344"/>
    <n v="11496"/>
    <n v="241"/>
    <s v="#StyleWithMyntra"/>
    <x v="2"/>
    <n v="0.21840570317563188"/>
    <d v="2025-03-02T00:00:00"/>
    <s v="Outside Campaign"/>
  </r>
  <r>
    <x v="42"/>
    <x v="2"/>
    <d v="2024-12-14T00:00:00"/>
    <x v="3"/>
    <s v="Explore the latest carousel on Myntra! Trendy styles await."/>
    <n v="2174"/>
    <n v="658"/>
    <n v="15"/>
    <n v="13044"/>
    <n v="12206"/>
    <n v="137"/>
    <s v="#MyntraSale,#MyntraFashion"/>
    <x v="3"/>
    <n v="0.21826126954921804"/>
    <d v="2024-12-08T00:00:00"/>
    <s v="Before Campaign"/>
  </r>
  <r>
    <x v="43"/>
    <x v="0"/>
    <d v="2025-03-02T00:00:00"/>
    <x v="4"/>
    <s v="Explore the latest image on Myntra! Trendy styles await."/>
    <n v="2358"/>
    <n v="784"/>
    <n v="344"/>
    <n v="35370"/>
    <n v="34475"/>
    <n v="216"/>
    <s v="#MyntraSale,#StyleWithMyntra"/>
    <x v="0"/>
    <n v="9.8558100084817649E-2"/>
    <d v="2025-03-02T00:00:00"/>
    <s v="Outside Campaign"/>
  </r>
  <r>
    <x v="44"/>
    <x v="3"/>
    <d v="2024-11-01T00:00:00"/>
    <x v="5"/>
    <s v="Explore the latest video on Myntra! Trendy styles await."/>
    <n v="3371"/>
    <n v="106"/>
    <n v="327"/>
    <n v="50565"/>
    <n v="49816"/>
    <n v="176"/>
    <s v="#FashionDeals"/>
    <x v="3"/>
    <n v="7.5229902106199939E-2"/>
    <d v="2024-10-27T00:00:00"/>
    <s v="During Campaign"/>
  </r>
  <r>
    <x v="45"/>
    <x v="0"/>
    <d v="2025-05-02T00:00:00"/>
    <x v="5"/>
    <s v="Explore the latest video on Myntra! Trendy styles await."/>
    <n v="1108"/>
    <n v="177"/>
    <n v="212"/>
    <n v="8864"/>
    <n v="8710"/>
    <n v="97"/>
    <s v="#MyntraFashion"/>
    <x v="3"/>
    <n v="0.16888537906137185"/>
    <d v="2025-04-27T00:00:00"/>
    <s v="Outside Campaign"/>
  </r>
  <r>
    <x v="46"/>
    <x v="0"/>
    <d v="2025-02-24T00:00:00"/>
    <x v="3"/>
    <s v="Explore the latest carousel on Myntra! Trendy styles await."/>
    <n v="2704"/>
    <n v="752"/>
    <n v="153"/>
    <n v="21632"/>
    <n v="20792"/>
    <n v="127"/>
    <s v="#FashionDeals,#MyntraFashion"/>
    <x v="0"/>
    <n v="0.16683616863905326"/>
    <d v="2025-02-23T00:00:00"/>
    <s v="Outside Campaign"/>
  </r>
  <r>
    <x v="47"/>
    <x v="0"/>
    <d v="2025-03-11T00:00:00"/>
    <x v="2"/>
    <s v="Explore the latest story on Myntra! Trendy styles await."/>
    <n v="1950"/>
    <n v="295"/>
    <n v="478"/>
    <n v="37050"/>
    <n v="36272"/>
    <n v="119"/>
    <s v="#MyntraFashion,#StyleWithMyntra"/>
    <x v="3"/>
    <n v="7.349527665317139E-2"/>
    <d v="2025-03-09T00:00:00"/>
    <s v="Outside Campaign"/>
  </r>
  <r>
    <x v="48"/>
    <x v="0"/>
    <d v="2024-06-10T00:00:00"/>
    <x v="2"/>
    <s v="Explore the latest story on Myntra! Trendy styles await."/>
    <n v="2164"/>
    <n v="549"/>
    <n v="274"/>
    <n v="28132"/>
    <n v="27361"/>
    <n v="177"/>
    <s v="#StyleWithMyntra"/>
    <x v="0"/>
    <n v="0.10617801791554102"/>
    <d v="2024-06-09T00:00:00"/>
    <s v="During Campaign"/>
  </r>
  <r>
    <x v="49"/>
    <x v="1"/>
    <d v="2024-07-03T00:00:00"/>
    <x v="2"/>
    <s v="Explore the latest story on Myntra! Trendy styles await."/>
    <n v="2754"/>
    <n v="130"/>
    <n v="90"/>
    <n v="22032"/>
    <n v="21288"/>
    <n v="112"/>
    <s v="#MyntraFashion"/>
    <x v="0"/>
    <n v="0.13498547567175018"/>
    <d v="2024-06-30T00:00:00"/>
    <s v="During Campaign"/>
  </r>
  <r>
    <x v="50"/>
    <x v="3"/>
    <d v="2024-06-13T00:00:00"/>
    <x v="3"/>
    <s v="Explore the latest carousel on Myntra! Trendy styles await."/>
    <n v="2200"/>
    <n v="504"/>
    <n v="239"/>
    <n v="37400"/>
    <n v="36938"/>
    <n v="225"/>
    <s v="#MyntraSale"/>
    <x v="2"/>
    <n v="7.8689839572192513E-2"/>
    <d v="2024-06-09T00:00:00"/>
    <s v="During Campaign"/>
  </r>
  <r>
    <x v="51"/>
    <x v="3"/>
    <d v="2025-01-03T00:00:00"/>
    <x v="4"/>
    <s v="Explore the latest image on Myntra! Trendy styles await."/>
    <n v="947"/>
    <n v="338"/>
    <n v="350"/>
    <n v="10417"/>
    <n v="9730"/>
    <n v="34"/>
    <s v="#MyntraFashion,#MyntraSale"/>
    <x v="2"/>
    <n v="0.1569549774407219"/>
    <d v="2024-12-29T00:00:00"/>
    <s v="Before Campaign"/>
  </r>
  <r>
    <x v="52"/>
    <x v="1"/>
    <d v="2025-02-24T00:00:00"/>
    <x v="3"/>
    <s v="Explore the latest carousel on Myntra! Trendy styles await."/>
    <n v="804"/>
    <n v="639"/>
    <n v="43"/>
    <n v="4020"/>
    <n v="3144"/>
    <n v="11"/>
    <s v="#StyleWithMyntra,#MyntraTrend"/>
    <x v="3"/>
    <n v="0.36965174129353234"/>
    <d v="2025-02-23T00:00:00"/>
    <s v="Outside Campaign"/>
  </r>
  <r>
    <x v="53"/>
    <x v="1"/>
    <d v="2025-03-13T00:00:00"/>
    <x v="3"/>
    <s v="Explore the latest carousel on Myntra! Trendy styles await."/>
    <n v="1686"/>
    <n v="904"/>
    <n v="472"/>
    <n v="18546"/>
    <n v="18171"/>
    <n v="52"/>
    <s v="#MyntraFashion,#FashionDeals"/>
    <x v="1"/>
    <n v="0.16510298716704411"/>
    <d v="2025-03-09T00:00:00"/>
    <s v="Outside Campaign"/>
  </r>
  <r>
    <x v="54"/>
    <x v="3"/>
    <d v="2024-06-17T00:00:00"/>
    <x v="4"/>
    <s v="Explore the latest image on Myntra! Trendy styles await."/>
    <n v="1226"/>
    <n v="119"/>
    <n v="7"/>
    <n v="14712"/>
    <n v="14049"/>
    <n v="123"/>
    <s v="#MyntraSale,#MyntraTrend"/>
    <x v="3"/>
    <n v="9.1897770527460579E-2"/>
    <d v="2024-06-16T00:00:00"/>
    <s v="During Campaign"/>
  </r>
  <r>
    <x v="55"/>
    <x v="3"/>
    <d v="2024-12-18T00:00:00"/>
    <x v="3"/>
    <s v="Explore the latest carousel on Myntra! Trendy styles await."/>
    <n v="2946"/>
    <n v="498"/>
    <n v="367"/>
    <n v="29460"/>
    <n v="28527"/>
    <n v="60"/>
    <s v="#StyleWithMyntra,#FashionDeals"/>
    <x v="1"/>
    <n v="0.12936184657162253"/>
    <d v="2024-12-15T00:00:00"/>
    <s v="Before Campaign"/>
  </r>
  <r>
    <x v="56"/>
    <x v="0"/>
    <d v="2024-10-21T00:00:00"/>
    <x v="5"/>
    <s v="Explore the latest video on Myntra! Trendy styles await."/>
    <n v="2825"/>
    <n v="535"/>
    <n v="295"/>
    <n v="45200"/>
    <n v="44739"/>
    <n v="169"/>
    <s v="#StyleWithMyntra"/>
    <x v="1"/>
    <n v="8.0862831858407078E-2"/>
    <d v="2024-10-20T00:00:00"/>
    <s v="During Campaign"/>
  </r>
  <r>
    <x v="57"/>
    <x v="2"/>
    <d v="2025-04-15T00:00:00"/>
    <x v="0"/>
    <s v="Explore the latest reel on Myntra! Trendy styles await."/>
    <n v="103"/>
    <n v="770"/>
    <n v="19"/>
    <n v="1030"/>
    <n v="410"/>
    <n v="262"/>
    <s v="#MyntraSale"/>
    <x v="2"/>
    <n v="0.86601941747572819"/>
    <d v="2025-04-13T00:00:00"/>
    <s v="Outside Campaign"/>
  </r>
  <r>
    <x v="58"/>
    <x v="2"/>
    <d v="2024-06-22T00:00:00"/>
    <x v="1"/>
    <s v="Explore the latest text on Myntra! Trendy styles await."/>
    <n v="2180"/>
    <n v="263"/>
    <n v="387"/>
    <n v="30520"/>
    <n v="30059"/>
    <n v="174"/>
    <s v="#FashionDeals"/>
    <x v="0"/>
    <n v="9.2726081258191345E-2"/>
    <d v="2024-06-16T00:00:00"/>
    <s v="During Campaign"/>
  </r>
  <r>
    <x v="59"/>
    <x v="2"/>
    <d v="2025-01-28T00:00:00"/>
    <x v="5"/>
    <s v="Explore the latest video on Myntra! Trendy styles await."/>
    <n v="904"/>
    <n v="973"/>
    <n v="63"/>
    <n v="11752"/>
    <n v="11580"/>
    <n v="84"/>
    <s v="#StyleWithMyntra"/>
    <x v="0"/>
    <n v="0.1650782845473111"/>
    <d v="2025-01-26T00:00:00"/>
    <s v="During Campaign"/>
  </r>
  <r>
    <x v="60"/>
    <x v="0"/>
    <d v="2024-09-05T00:00:00"/>
    <x v="5"/>
    <s v="Explore the latest video on Myntra! Trendy styles await."/>
    <n v="4886"/>
    <n v="983"/>
    <n v="409"/>
    <n v="43974"/>
    <n v="43239"/>
    <n v="65"/>
    <s v="#MyntraFashion"/>
    <x v="0"/>
    <n v="0.14276618001546368"/>
    <d v="2024-09-01T00:00:00"/>
    <s v="Before Campaign"/>
  </r>
  <r>
    <x v="61"/>
    <x v="0"/>
    <d v="2024-11-22T00:00:00"/>
    <x v="3"/>
    <s v="Explore the latest carousel on Myntra! Trendy styles await."/>
    <n v="53"/>
    <n v="81"/>
    <n v="379"/>
    <n v="954"/>
    <n v="7"/>
    <n v="148"/>
    <s v="#FashionDeals"/>
    <x v="2"/>
    <n v="0.53773584905660377"/>
    <d v="2024-11-17T00:00:00"/>
    <s v="Outside Campaign"/>
  </r>
  <r>
    <x v="62"/>
    <x v="0"/>
    <d v="2024-07-31T00:00:00"/>
    <x v="3"/>
    <s v="Explore the latest carousel on Myntra! Trendy styles await."/>
    <n v="4507"/>
    <n v="217"/>
    <n v="13"/>
    <n v="90140"/>
    <n v="89591"/>
    <n v="125"/>
    <s v="#MyntraSale"/>
    <x v="0"/>
    <n v="5.2551586421122697E-2"/>
    <d v="2024-07-28T00:00:00"/>
    <s v="Before Campaign"/>
  </r>
  <r>
    <x v="63"/>
    <x v="3"/>
    <d v="2024-08-17T00:00:00"/>
    <x v="4"/>
    <s v="Explore the latest image on Myntra! Trendy styles await."/>
    <n v="2878"/>
    <n v="248"/>
    <n v="416"/>
    <n v="43170"/>
    <n v="42667"/>
    <n v="75"/>
    <s v="#FashionDeals,#MyntraTrend"/>
    <x v="1"/>
    <n v="8.2047718322909427E-2"/>
    <d v="2024-08-11T00:00:00"/>
    <s v="During Campaign"/>
  </r>
  <r>
    <x v="64"/>
    <x v="2"/>
    <d v="2025-03-28T00:00:00"/>
    <x v="2"/>
    <s v="Explore the latest story on Myntra! Trendy styles await."/>
    <n v="1881"/>
    <n v="501"/>
    <n v="99"/>
    <n v="20691"/>
    <n v="19987"/>
    <n v="289"/>
    <s v="#FashionDeals"/>
    <x v="1"/>
    <n v="0.11990720603160794"/>
    <d v="2025-03-23T00:00:00"/>
    <s v="Outside Campaign"/>
  </r>
  <r>
    <x v="65"/>
    <x v="0"/>
    <d v="2024-07-26T00:00:00"/>
    <x v="3"/>
    <s v="Explore the latest carousel on Myntra! Trendy styles await."/>
    <n v="432"/>
    <n v="171"/>
    <n v="280"/>
    <n v="3024"/>
    <n v="2285"/>
    <n v="184"/>
    <s v="#MyntraFashion"/>
    <x v="2"/>
    <n v="0.29199735449735448"/>
    <d v="2024-07-21T00:00:00"/>
    <s v="Before Campaign"/>
  </r>
  <r>
    <x v="66"/>
    <x v="3"/>
    <d v="2025-03-29T00:00:00"/>
    <x v="3"/>
    <s v="Explore the latest carousel on Myntra! Trendy styles await."/>
    <n v="4712"/>
    <n v="568"/>
    <n v="127"/>
    <n v="84816"/>
    <n v="84691"/>
    <n v="100"/>
    <s v="#FashionDeals"/>
    <x v="0"/>
    <n v="6.3749764195434822E-2"/>
    <d v="2025-03-23T00:00:00"/>
    <s v="Outside Campaign"/>
  </r>
  <r>
    <x v="67"/>
    <x v="2"/>
    <d v="2024-12-08T00:00:00"/>
    <x v="2"/>
    <s v="Explore the latest story on Myntra! Trendy styles await."/>
    <n v="2610"/>
    <n v="126"/>
    <n v="288"/>
    <n v="15660"/>
    <n v="15145"/>
    <n v="73"/>
    <s v="#MyntraFashion"/>
    <x v="0"/>
    <n v="0.19310344827586207"/>
    <d v="2024-12-08T00:00:00"/>
    <s v="Outside Campaign"/>
  </r>
  <r>
    <x v="68"/>
    <x v="0"/>
    <d v="2025-03-08T00:00:00"/>
    <x v="1"/>
    <s v="Explore the latest text on Myntra! Trendy styles await."/>
    <n v="1292"/>
    <n v="626"/>
    <n v="496"/>
    <n v="25840"/>
    <n v="24916"/>
    <n v="149"/>
    <s v="#StyleWithMyntra,#MyntraTrend"/>
    <x v="3"/>
    <n v="9.3421052631578946E-2"/>
    <d v="2025-03-02T00:00:00"/>
    <s v="Outside Campaign"/>
  </r>
  <r>
    <x v="69"/>
    <x v="3"/>
    <d v="2025-04-02T00:00:00"/>
    <x v="5"/>
    <s v="Explore the latest video on Myntra! Trendy styles await."/>
    <n v="199"/>
    <n v="772"/>
    <n v="400"/>
    <n v="3582"/>
    <n v="2988"/>
    <n v="43"/>
    <s v="#MyntraTrend"/>
    <x v="0"/>
    <n v="0.38274706867671693"/>
    <d v="2025-03-30T00:00:00"/>
    <s v="Outside Campaign"/>
  </r>
  <r>
    <x v="70"/>
    <x v="1"/>
    <d v="2024-09-02T00:00:00"/>
    <x v="3"/>
    <s v="Explore the latest carousel on Myntra! Trendy styles await."/>
    <n v="2551"/>
    <n v="915"/>
    <n v="205"/>
    <n v="30612"/>
    <n v="30360"/>
    <n v="227"/>
    <s v="#MyntraSale,#FashionDeals"/>
    <x v="1"/>
    <n v="0.1199202926956749"/>
    <d v="2024-09-01T00:00:00"/>
    <s v="Outside Campaign"/>
  </r>
  <r>
    <x v="71"/>
    <x v="1"/>
    <d v="2025-03-03T00:00:00"/>
    <x v="0"/>
    <s v="Explore the latest reel on Myntra! Trendy styles await."/>
    <n v="296"/>
    <n v="60"/>
    <n v="141"/>
    <n v="5624"/>
    <n v="5239"/>
    <n v="88"/>
    <s v="#MyntraTrend"/>
    <x v="3"/>
    <n v="8.837126600284495E-2"/>
    <d v="2025-03-02T00:00:00"/>
    <s v="Outside Campaign"/>
  </r>
  <r>
    <x v="72"/>
    <x v="3"/>
    <d v="2024-10-18T00:00:00"/>
    <x v="2"/>
    <s v="Explore the latest story on Myntra! Trendy styles await."/>
    <n v="4126"/>
    <n v="426"/>
    <n v="486"/>
    <n v="78394"/>
    <n v="77798"/>
    <n v="88"/>
    <s v="#MyntraFashion"/>
    <x v="0"/>
    <n v="6.4265122330790625E-2"/>
    <d v="2024-10-13T00:00:00"/>
    <s v="During Campaign"/>
  </r>
  <r>
    <x v="73"/>
    <x v="1"/>
    <d v="2024-10-28T00:00:00"/>
    <x v="0"/>
    <s v="Explore the latest reel on Myntra! Trendy styles await."/>
    <n v="1855"/>
    <n v="200"/>
    <n v="174"/>
    <n v="16695"/>
    <n v="16330"/>
    <n v="123"/>
    <s v="#MyntraFashion"/>
    <x v="2"/>
    <n v="0.13351302785265048"/>
    <d v="2024-10-27T00:00:00"/>
    <s v="During Campaign"/>
  </r>
  <r>
    <x v="74"/>
    <x v="2"/>
    <d v="2024-08-01T00:00:00"/>
    <x v="0"/>
    <s v="Explore the latest reel on Myntra! Trendy styles await."/>
    <n v="1674"/>
    <n v="929"/>
    <n v="37"/>
    <n v="21762"/>
    <n v="20998"/>
    <n v="255"/>
    <s v="#StyleWithMyntra,#FashionDeals"/>
    <x v="2"/>
    <n v="0.12131237937689551"/>
    <d v="2024-07-28T00:00:00"/>
    <s v="During Campaign"/>
  </r>
  <r>
    <x v="75"/>
    <x v="0"/>
    <d v="2024-11-07T00:00:00"/>
    <x v="2"/>
    <s v="Explore the latest story on Myntra! Trendy styles await."/>
    <n v="1121"/>
    <n v="135"/>
    <n v="18"/>
    <n v="15694"/>
    <n v="14957"/>
    <n v="99"/>
    <s v="#MyntraSale,#MyntraFashion"/>
    <x v="3"/>
    <n v="8.1177520071364848E-2"/>
    <d v="2024-11-03T00:00:00"/>
    <s v="Outside Campaign"/>
  </r>
  <r>
    <x v="76"/>
    <x v="3"/>
    <d v="2025-03-04T00:00:00"/>
    <x v="2"/>
    <s v="Explore the latest story on Myntra! Trendy styles await."/>
    <n v="1249"/>
    <n v="116"/>
    <n v="420"/>
    <n v="8743"/>
    <n v="8538"/>
    <n v="63"/>
    <s v="#MyntraFashion,#FashionDeals"/>
    <x v="2"/>
    <n v="0.20416333066453163"/>
    <d v="2025-03-02T00:00:00"/>
    <s v="Outside Campaign"/>
  </r>
  <r>
    <x v="77"/>
    <x v="0"/>
    <d v="2024-06-17T00:00:00"/>
    <x v="4"/>
    <s v="Explore the latest image on Myntra! Trendy styles await."/>
    <n v="954"/>
    <n v="324"/>
    <n v="288"/>
    <n v="19080"/>
    <n v="18859"/>
    <n v="21"/>
    <s v="#MyntraTrend"/>
    <x v="2"/>
    <n v="8.2075471698113203E-2"/>
    <d v="2024-06-16T00:00:00"/>
    <s v="During Campaign"/>
  </r>
  <r>
    <x v="78"/>
    <x v="2"/>
    <d v="2024-10-09T00:00:00"/>
    <x v="3"/>
    <s v="Explore the latest carousel on Myntra! Trendy styles await."/>
    <n v="3068"/>
    <n v="137"/>
    <n v="329"/>
    <n v="39884"/>
    <n v="39404"/>
    <n v="266"/>
    <s v="#MyntraSale,#MyntraTrend"/>
    <x v="2"/>
    <n v="8.860696018453515E-2"/>
    <d v="2024-10-06T00:00:00"/>
    <s v="During Campaign"/>
  </r>
  <r>
    <x v="79"/>
    <x v="2"/>
    <d v="2024-06-13T00:00:00"/>
    <x v="2"/>
    <s v="Explore the latest story on Myntra! Trendy styles await."/>
    <n v="2103"/>
    <n v="892"/>
    <n v="103"/>
    <n v="39957"/>
    <n v="39466"/>
    <n v="28"/>
    <s v="#FashionDeals,#MyntraFashion"/>
    <x v="1"/>
    <n v="7.7533348349475686E-2"/>
    <d v="2024-06-09T00:00:00"/>
    <s v="During Campaign"/>
  </r>
  <r>
    <x v="80"/>
    <x v="2"/>
    <d v="2024-10-19T00:00:00"/>
    <x v="2"/>
    <s v="Explore the latest story on Myntra! Trendy styles await."/>
    <n v="1816"/>
    <n v="29"/>
    <n v="41"/>
    <n v="19976"/>
    <n v="19262"/>
    <n v="283"/>
    <s v="#MyntraTrend,#MyntraSale"/>
    <x v="2"/>
    <n v="9.4413295955146179E-2"/>
    <d v="2024-10-13T00:00:00"/>
    <s v="During Campaign"/>
  </r>
  <r>
    <x v="81"/>
    <x v="2"/>
    <d v="2024-07-24T00:00:00"/>
    <x v="4"/>
    <s v="Explore the latest image on Myntra! Trendy styles await."/>
    <n v="725"/>
    <n v="88"/>
    <n v="428"/>
    <n v="14500"/>
    <n v="13637"/>
    <n v="200"/>
    <s v="#MyntraTrend"/>
    <x v="2"/>
    <n v="8.558620689655172E-2"/>
    <d v="2024-07-21T00:00:00"/>
    <s v="Before Campaign"/>
  </r>
  <r>
    <x v="82"/>
    <x v="1"/>
    <d v="2024-10-15T00:00:00"/>
    <x v="5"/>
    <s v="Explore the latest video on Myntra! Trendy styles await."/>
    <n v="1094"/>
    <n v="472"/>
    <n v="21"/>
    <n v="9846"/>
    <n v="9609"/>
    <n v="112"/>
    <s v="#MyntraTrend,#StyleWithMyntra"/>
    <x v="2"/>
    <n v="0.16118220597196831"/>
    <d v="2024-10-13T00:00:00"/>
    <s v="During Campaign"/>
  </r>
  <r>
    <x v="83"/>
    <x v="3"/>
    <d v="2024-12-09T00:00:00"/>
    <x v="4"/>
    <s v="Explore the latest image on Myntra! Trendy styles await."/>
    <n v="1841"/>
    <n v="851"/>
    <n v="342"/>
    <n v="34979"/>
    <n v="34154"/>
    <n v="255"/>
    <s v="#MyntraFashion,#FashionDeals"/>
    <x v="0"/>
    <n v="8.6737756939878216E-2"/>
    <d v="2024-12-08T00:00:00"/>
    <s v="Outside Campaign"/>
  </r>
  <r>
    <x v="84"/>
    <x v="2"/>
    <d v="2025-04-19T00:00:00"/>
    <x v="4"/>
    <s v="Explore the latest image on Myntra! Trendy styles await."/>
    <n v="4177"/>
    <n v="569"/>
    <n v="55"/>
    <n v="25062"/>
    <n v="24847"/>
    <n v="230"/>
    <s v="#MyntraFashion"/>
    <x v="0"/>
    <n v="0.19156491900087783"/>
    <d v="2025-04-13T00:00:00"/>
    <s v="Outside Campaign"/>
  </r>
  <r>
    <x v="85"/>
    <x v="1"/>
    <d v="2025-01-27T00:00:00"/>
    <x v="1"/>
    <s v="Explore the latest text on Myntra! Trendy styles await."/>
    <n v="3428"/>
    <n v="305"/>
    <n v="85"/>
    <n v="58276"/>
    <n v="58052"/>
    <n v="242"/>
    <s v="#MyntraTrend,#StyleWithMyntra"/>
    <x v="2"/>
    <n v="6.5515821264328367E-2"/>
    <d v="2025-01-26T00:00:00"/>
    <s v="During Campaign"/>
  </r>
  <r>
    <x v="86"/>
    <x v="0"/>
    <d v="2024-06-06T00:00:00"/>
    <x v="5"/>
    <s v="Explore the latest video on Myntra! Trendy styles await."/>
    <n v="1436"/>
    <n v="765"/>
    <n v="496"/>
    <n v="12924"/>
    <n v="12701"/>
    <n v="197"/>
    <s v="#MyntraTrend,#MyntraSale"/>
    <x v="1"/>
    <n v="0.20868152274837512"/>
    <d v="2024-06-02T00:00:00"/>
    <s v="Before Campaign"/>
  </r>
  <r>
    <x v="87"/>
    <x v="3"/>
    <d v="2024-07-07T00:00:00"/>
    <x v="2"/>
    <s v="Explore the latest story on Myntra! Trendy styles await."/>
    <n v="302"/>
    <n v="47"/>
    <n v="430"/>
    <n v="5738"/>
    <n v="4890"/>
    <n v="25"/>
    <s v="#MyntraFashion,#MyntraSale"/>
    <x v="1"/>
    <n v="0.13576158940397351"/>
    <d v="2024-07-07T00:00:00"/>
    <s v="Before Campaign"/>
  </r>
  <r>
    <x v="88"/>
    <x v="0"/>
    <d v="2025-01-10T00:00:00"/>
    <x v="4"/>
    <s v="Explore the latest image on Myntra! Trendy styles await."/>
    <n v="2214"/>
    <n v="249"/>
    <n v="152"/>
    <n v="15498"/>
    <n v="14800"/>
    <n v="180"/>
    <s v="#MyntraSale"/>
    <x v="1"/>
    <n v="0.16873144921925409"/>
    <d v="2025-01-05T00:00:00"/>
    <s v="During Campaign"/>
  </r>
  <r>
    <x v="89"/>
    <x v="2"/>
    <d v="2024-06-03T00:00:00"/>
    <x v="4"/>
    <s v="Explore the latest image on Myntra! Trendy styles await."/>
    <n v="3861"/>
    <n v="960"/>
    <n v="101"/>
    <n v="69498"/>
    <n v="68817"/>
    <n v="297"/>
    <s v="#MyntraFashion"/>
    <x v="1"/>
    <n v="7.0822181933293038E-2"/>
    <d v="2024-06-02T00:00:00"/>
    <s v="Before Campaign"/>
  </r>
  <r>
    <x v="90"/>
    <x v="3"/>
    <d v="2025-03-24T00:00:00"/>
    <x v="4"/>
    <s v="Explore the latest image on Myntra! Trendy styles await."/>
    <n v="1263"/>
    <n v="397"/>
    <n v="357"/>
    <n v="25260"/>
    <n v="24615"/>
    <n v="137"/>
    <s v="#MyntraSale"/>
    <x v="1"/>
    <n v="7.984956452889945E-2"/>
    <d v="2025-03-23T00:00:00"/>
    <s v="Outside Campaign"/>
  </r>
  <r>
    <x v="91"/>
    <x v="0"/>
    <d v="2024-10-21T00:00:00"/>
    <x v="2"/>
    <s v="Explore the latest story on Myntra! Trendy styles await."/>
    <n v="3801"/>
    <n v="967"/>
    <n v="401"/>
    <n v="38010"/>
    <n v="37625"/>
    <n v="236"/>
    <s v="#StyleWithMyntra"/>
    <x v="3"/>
    <n v="0.13599052880820836"/>
    <d v="2024-10-20T00:00:00"/>
    <s v="During Campaign"/>
  </r>
  <r>
    <x v="92"/>
    <x v="2"/>
    <d v="2024-12-11T00:00:00"/>
    <x v="5"/>
    <s v="Explore the latest video on Myntra! Trendy styles await."/>
    <n v="1431"/>
    <n v="951"/>
    <n v="26"/>
    <n v="8586"/>
    <n v="8396"/>
    <n v="150"/>
    <s v="#MyntraTrend,#FashionDeals"/>
    <x v="0"/>
    <n v="0.28045655718611695"/>
    <d v="2024-12-08T00:00:00"/>
    <s v="Before Campaign"/>
  </r>
  <r>
    <x v="93"/>
    <x v="2"/>
    <d v="2024-11-07T00:00:00"/>
    <x v="4"/>
    <s v="Explore the latest image on Myntra! Trendy styles await."/>
    <n v="2647"/>
    <n v="304"/>
    <n v="170"/>
    <n v="18529"/>
    <n v="17841"/>
    <n v="46"/>
    <s v="#StyleWithMyntra"/>
    <x v="1"/>
    <n v="0.16843866371633656"/>
    <d v="2024-11-03T00:00:00"/>
    <s v="Outside Campaign"/>
  </r>
  <r>
    <x v="94"/>
    <x v="2"/>
    <d v="2024-11-08T00:00:00"/>
    <x v="1"/>
    <s v="Explore the latest text on Myntra! Trendy styles await."/>
    <n v="3182"/>
    <n v="559"/>
    <n v="160"/>
    <n v="57276"/>
    <n v="56890"/>
    <n v="163"/>
    <s v="#StyleWithMyntra,#MyntraTrend"/>
    <x v="1"/>
    <n v="6.8108806480899509E-2"/>
    <d v="2024-11-03T00:00:00"/>
    <s v="Outside Campaign"/>
  </r>
  <r>
    <x v="95"/>
    <x v="0"/>
    <d v="2024-09-10T00:00:00"/>
    <x v="4"/>
    <s v="Explore the latest image on Myntra! Trendy styles await."/>
    <n v="1238"/>
    <n v="366"/>
    <n v="444"/>
    <n v="19808"/>
    <n v="19334"/>
    <n v="123"/>
    <s v="#FashionDeals"/>
    <x v="2"/>
    <n v="0.10339256865912763"/>
    <d v="2024-09-08T00:00:00"/>
    <s v="Before Campaign"/>
  </r>
  <r>
    <x v="96"/>
    <x v="2"/>
    <d v="2024-08-13T00:00:00"/>
    <x v="4"/>
    <s v="Explore the latest image on Myntra! Trendy styles await."/>
    <n v="4739"/>
    <n v="527"/>
    <n v="135"/>
    <n v="61607"/>
    <n v="61333"/>
    <n v="36"/>
    <s v="#StyleWithMyntra,#MyntraSale"/>
    <x v="1"/>
    <n v="8.7668609086629767E-2"/>
    <d v="2024-08-11T00:00:00"/>
    <s v="During Campaign"/>
  </r>
  <r>
    <x v="97"/>
    <x v="0"/>
    <d v="2024-06-10T00:00:00"/>
    <x v="2"/>
    <s v="Explore the latest story on Myntra! Trendy styles await."/>
    <n v="1575"/>
    <n v="771"/>
    <n v="486"/>
    <n v="25200"/>
    <n v="24826"/>
    <n v="17"/>
    <s v="#StyleWithMyntra"/>
    <x v="2"/>
    <n v="0.11238095238095239"/>
    <d v="2024-06-09T00:00:00"/>
    <s v="During Campaign"/>
  </r>
  <r>
    <x v="98"/>
    <x v="1"/>
    <d v="2024-07-02T00:00:00"/>
    <x v="3"/>
    <s v="Explore the latest carousel on Myntra! Trendy styles await."/>
    <n v="4171"/>
    <n v="548"/>
    <n v="86"/>
    <n v="66736"/>
    <n v="66634"/>
    <n v="173"/>
    <s v="#StyleWithMyntra"/>
    <x v="2"/>
    <n v="7.2000119875329657E-2"/>
    <d v="2024-06-30T00:00:00"/>
    <s v="During Campaign"/>
  </r>
  <r>
    <x v="99"/>
    <x v="1"/>
    <d v="2025-02-10T00:00:00"/>
    <x v="5"/>
    <s v="Explore the latest video on Myntra! Trendy styles await."/>
    <n v="1766"/>
    <n v="92"/>
    <n v="424"/>
    <n v="24724"/>
    <n v="24333"/>
    <n v="52"/>
    <s v="#StyleWithMyntra"/>
    <x v="0"/>
    <n v="9.2298980747451867E-2"/>
    <d v="2025-02-09T00:00:00"/>
    <s v="During Campaign"/>
  </r>
  <r>
    <x v="100"/>
    <x v="1"/>
    <d v="2024-10-18T00:00:00"/>
    <x v="5"/>
    <s v="Explore the latest video on Myntra! Trendy styles await."/>
    <n v="4450"/>
    <n v="983"/>
    <n v="143"/>
    <n v="75650"/>
    <n v="75008"/>
    <n v="12"/>
    <s v="#MyntraSale,#StyleWithMyntra"/>
    <x v="1"/>
    <n v="7.3707865168539333E-2"/>
    <d v="2024-10-13T00:00:00"/>
    <s v="During Campaign"/>
  </r>
  <r>
    <x v="101"/>
    <x v="0"/>
    <d v="2024-09-18T00:00:00"/>
    <x v="0"/>
    <s v="Explore the latest reel on Myntra! Trendy styles await."/>
    <n v="1000"/>
    <n v="978"/>
    <n v="162"/>
    <n v="6000"/>
    <n v="5221"/>
    <n v="223"/>
    <s v="#MyntraTrend,#MyntraFashion"/>
    <x v="2"/>
    <n v="0.35666666666666669"/>
    <d v="2024-09-15T00:00:00"/>
    <s v="Before Campaign"/>
  </r>
  <r>
    <x v="102"/>
    <x v="3"/>
    <d v="2024-06-11T00:00:00"/>
    <x v="4"/>
    <s v="Explore the latest image on Myntra! Trendy styles await."/>
    <n v="3689"/>
    <n v="48"/>
    <n v="306"/>
    <n v="40579"/>
    <n v="39588"/>
    <n v="212"/>
    <s v="#MyntraTrend"/>
    <x v="0"/>
    <n v="9.9632815002833983E-2"/>
    <d v="2024-06-09T00:00:00"/>
    <s v="During Campaign"/>
  </r>
  <r>
    <x v="103"/>
    <x v="1"/>
    <d v="2025-03-23T00:00:00"/>
    <x v="2"/>
    <s v="Explore the latest story on Myntra! Trendy styles await."/>
    <n v="3655"/>
    <n v="568"/>
    <n v="286"/>
    <n v="32895"/>
    <n v="32015"/>
    <n v="199"/>
    <s v="#MyntraTrend"/>
    <x v="3"/>
    <n v="0.13707250341997265"/>
    <d v="2025-03-23T00:00:00"/>
    <s v="Outside Campaign"/>
  </r>
  <r>
    <x v="104"/>
    <x v="2"/>
    <d v="2024-06-14T00:00:00"/>
    <x v="3"/>
    <s v="Explore the latest carousel on Myntra! Trendy styles await."/>
    <n v="498"/>
    <n v="38"/>
    <n v="42"/>
    <n v="4482"/>
    <n v="3647"/>
    <n v="32"/>
    <s v="#StyleWithMyntra,#FashionDeals"/>
    <x v="3"/>
    <n v="0.12896028558679162"/>
    <d v="2024-06-09T00:00:00"/>
    <s v="During Campaign"/>
  </r>
  <r>
    <x v="105"/>
    <x v="2"/>
    <d v="2025-02-04T00:00:00"/>
    <x v="4"/>
    <s v="Explore the latest image on Myntra! Trendy styles await."/>
    <n v="4619"/>
    <n v="821"/>
    <n v="499"/>
    <n v="69285"/>
    <n v="69141"/>
    <n v="298"/>
    <s v="#MyntraFashion"/>
    <x v="0"/>
    <n v="8.5718409468138843E-2"/>
    <d v="2025-02-02T00:00:00"/>
    <s v="During Campaign"/>
  </r>
  <r>
    <x v="106"/>
    <x v="1"/>
    <d v="2024-06-21T00:00:00"/>
    <x v="4"/>
    <s v="Explore the latest image on Myntra! Trendy styles await."/>
    <n v="4832"/>
    <n v="893"/>
    <n v="10"/>
    <n v="91808"/>
    <n v="91296"/>
    <n v="182"/>
    <s v="#MyntraSale,#StyleWithMyntra"/>
    <x v="2"/>
    <n v="6.2467323109097243E-2"/>
    <d v="2024-06-16T00:00:00"/>
    <s v="During Campaign"/>
  </r>
  <r>
    <x v="107"/>
    <x v="0"/>
    <d v="2025-03-25T00:00:00"/>
    <x v="5"/>
    <s v="Explore the latest video on Myntra! Trendy styles await."/>
    <n v="4050"/>
    <n v="871"/>
    <n v="347"/>
    <n v="52650"/>
    <n v="51755"/>
    <n v="209"/>
    <s v="#StyleWithMyntra,#FashionDeals"/>
    <x v="0"/>
    <n v="0.10005698005698006"/>
    <d v="2025-03-23T00:00:00"/>
    <s v="Outside Campaign"/>
  </r>
  <r>
    <x v="108"/>
    <x v="0"/>
    <d v="2024-08-08T00:00:00"/>
    <x v="2"/>
    <s v="Explore the latest story on Myntra! Trendy styles await."/>
    <n v="3649"/>
    <n v="215"/>
    <n v="413"/>
    <n v="25543"/>
    <n v="24963"/>
    <n v="167"/>
    <s v="#MyntraFashion,#StyleWithMyntra"/>
    <x v="0"/>
    <n v="0.16744313510550835"/>
    <d v="2024-08-04T00:00:00"/>
    <s v="During Campaign"/>
  </r>
  <r>
    <x v="109"/>
    <x v="2"/>
    <d v="2024-07-29T00:00:00"/>
    <x v="0"/>
    <s v="Explore the latest reel on Myntra! Trendy styles await."/>
    <n v="3523"/>
    <n v="753"/>
    <n v="482"/>
    <n v="38753"/>
    <n v="38579"/>
    <n v="270"/>
    <s v="#FashionDeals,#StyleWithMyntra"/>
    <x v="1"/>
    <n v="0.12277759141227776"/>
    <d v="2024-07-28T00:00:00"/>
    <s v="Before Campaign"/>
  </r>
  <r>
    <x v="110"/>
    <x v="1"/>
    <d v="2024-11-23T00:00:00"/>
    <x v="4"/>
    <s v="Explore the latest image on Myntra! Trendy styles await."/>
    <n v="2719"/>
    <n v="17"/>
    <n v="285"/>
    <n v="40785"/>
    <n v="40281"/>
    <n v="40"/>
    <s v="#MyntraFashion,#StyleWithMyntra"/>
    <x v="2"/>
    <n v="7.4071349760941527E-2"/>
    <d v="2024-11-17T00:00:00"/>
    <s v="Outside Campaign"/>
  </r>
  <r>
    <x v="111"/>
    <x v="0"/>
    <d v="2024-10-05T00:00:00"/>
    <x v="2"/>
    <s v="Explore the latest story on Myntra! Trendy styles await."/>
    <n v="1957"/>
    <n v="877"/>
    <n v="238"/>
    <n v="17613"/>
    <n v="16865"/>
    <n v="297"/>
    <s v="#MyntraFashion,#MyntraSale"/>
    <x v="2"/>
    <n v="0.17441662408448305"/>
    <d v="2024-09-29T00:00:00"/>
    <s v="During Campaign"/>
  </r>
  <r>
    <x v="112"/>
    <x v="0"/>
    <d v="2024-10-02T00:00:00"/>
    <x v="3"/>
    <s v="Explore the latest carousel on Myntra! Trendy styles await."/>
    <n v="4419"/>
    <n v="236"/>
    <n v="369"/>
    <n v="44190"/>
    <n v="43582"/>
    <n v="10"/>
    <s v="#MyntraTrend"/>
    <x v="3"/>
    <n v="0.11369088028965829"/>
    <d v="2024-09-29T00:00:00"/>
    <s v="Before Campaign"/>
  </r>
  <r>
    <x v="113"/>
    <x v="0"/>
    <d v="2024-11-14T00:00:00"/>
    <x v="2"/>
    <s v="Explore the latest story on Myntra! Trendy styles await."/>
    <n v="4000"/>
    <n v="689"/>
    <n v="488"/>
    <n v="40000"/>
    <n v="39569"/>
    <n v="44"/>
    <s v="#FashionDeals,#MyntraFashion"/>
    <x v="2"/>
    <n v="0.12942500000000001"/>
    <d v="2024-11-10T00:00:00"/>
    <s v="Outside Campaign"/>
  </r>
  <r>
    <x v="114"/>
    <x v="0"/>
    <d v="2025-05-11T00:00:00"/>
    <x v="4"/>
    <s v="Explore the latest image on Myntra! Trendy styles await."/>
    <n v="2493"/>
    <n v="97"/>
    <n v="44"/>
    <n v="42381"/>
    <n v="41991"/>
    <n v="242"/>
    <s v="#MyntraSale,#StyleWithMyntra"/>
    <x v="0"/>
    <n v="6.2150491965739366E-2"/>
    <d v="2025-05-11T00:00:00"/>
    <s v="Outside Campaign"/>
  </r>
  <r>
    <x v="115"/>
    <x v="1"/>
    <d v="2025-03-18T00:00:00"/>
    <x v="0"/>
    <s v="Explore the latest reel on Myntra! Trendy styles await."/>
    <n v="3704"/>
    <n v="186"/>
    <n v="458"/>
    <n v="25928"/>
    <n v="25081"/>
    <n v="131"/>
    <s v="#StyleWithMyntra"/>
    <x v="0"/>
    <n v="0.16769515581610614"/>
    <d v="2025-03-16T00:00:00"/>
    <s v="Outside Campaign"/>
  </r>
  <r>
    <x v="116"/>
    <x v="0"/>
    <d v="2024-11-04T00:00:00"/>
    <x v="4"/>
    <s v="Explore the latest image on Myntra! Trendy styles await."/>
    <n v="1606"/>
    <n v="451"/>
    <n v="405"/>
    <n v="20878"/>
    <n v="20190"/>
    <n v="219"/>
    <s v="#MyntraSale,#StyleWithMyntra"/>
    <x v="1"/>
    <n v="0.11792317271769326"/>
    <d v="2024-11-03T00:00:00"/>
    <s v="During Campaign"/>
  </r>
  <r>
    <x v="117"/>
    <x v="3"/>
    <d v="2024-11-04T00:00:00"/>
    <x v="4"/>
    <s v="Explore the latest image on Myntra! Trendy styles await."/>
    <n v="4551"/>
    <n v="714"/>
    <n v="207"/>
    <n v="68265"/>
    <n v="67754"/>
    <n v="57"/>
    <s v="#MyntraTrend"/>
    <x v="1"/>
    <n v="8.0158206987475278E-2"/>
    <d v="2024-11-03T00:00:00"/>
    <s v="During Campaign"/>
  </r>
  <r>
    <x v="118"/>
    <x v="2"/>
    <d v="2025-02-07T00:00:00"/>
    <x v="0"/>
    <s v="Explore the latest reel on Myntra! Trendy styles await."/>
    <n v="1970"/>
    <n v="675"/>
    <n v="478"/>
    <n v="9850"/>
    <n v="8924"/>
    <n v="117"/>
    <s v="#MyntraTrend"/>
    <x v="3"/>
    <n v="0.31705583756345179"/>
    <d v="2025-02-02T00:00:00"/>
    <s v="During Campaign"/>
  </r>
  <r>
    <x v="119"/>
    <x v="3"/>
    <d v="2024-10-21T00:00:00"/>
    <x v="2"/>
    <s v="Explore the latest story on Myntra! Trendy styles await."/>
    <n v="780"/>
    <n v="928"/>
    <n v="301"/>
    <n v="8580"/>
    <n v="8081"/>
    <n v="91"/>
    <s v="#MyntraSale,#MyntraFashion"/>
    <x v="3"/>
    <n v="0.23414918414918415"/>
    <d v="2024-10-20T00:00:00"/>
    <s v="During Campaign"/>
  </r>
  <r>
    <x v="120"/>
    <x v="2"/>
    <d v="2024-07-29T00:00:00"/>
    <x v="2"/>
    <s v="Explore the latest story on Myntra! Trendy styles await."/>
    <n v="498"/>
    <n v="701"/>
    <n v="412"/>
    <n v="4980"/>
    <n v="4185"/>
    <n v="185"/>
    <s v="#FashionDeals,#StyleWithMyntra"/>
    <x v="3"/>
    <n v="0.32349397590361445"/>
    <d v="2024-07-28T00:00:00"/>
    <s v="Before Campaign"/>
  </r>
  <r>
    <x v="121"/>
    <x v="2"/>
    <d v="2024-10-02T00:00:00"/>
    <x v="1"/>
    <s v="Explore the latest text on Myntra! Trendy styles await."/>
    <n v="3432"/>
    <n v="869"/>
    <n v="123"/>
    <n v="54912"/>
    <n v="53916"/>
    <n v="264"/>
    <s v="#MyntraFashion,#MyntraTrend"/>
    <x v="1"/>
    <n v="8.0565268065268064E-2"/>
    <d v="2024-09-29T00:00:00"/>
    <s v="Before Campaign"/>
  </r>
  <r>
    <x v="122"/>
    <x v="2"/>
    <d v="2024-06-14T00:00:00"/>
    <x v="2"/>
    <s v="Explore the latest story on Myntra! Trendy styles await."/>
    <n v="4363"/>
    <n v="649"/>
    <n v="140"/>
    <n v="21815"/>
    <n v="21481"/>
    <n v="157"/>
    <s v="#MyntraSale,#MyntraFashion"/>
    <x v="1"/>
    <n v="0.23616777446710979"/>
    <d v="2024-06-09T00:00:00"/>
    <s v="During Campaign"/>
  </r>
  <r>
    <x v="123"/>
    <x v="1"/>
    <d v="2025-04-06T00:00:00"/>
    <x v="3"/>
    <s v="Explore the latest carousel on Myntra! Trendy styles await."/>
    <n v="736"/>
    <n v="771"/>
    <n v="225"/>
    <n v="5152"/>
    <n v="4706"/>
    <n v="19"/>
    <s v="#StyleWithMyntra"/>
    <x v="2"/>
    <n v="0.33618012422360249"/>
    <d v="2025-04-06T00:00:00"/>
    <s v="Outside Campaign"/>
  </r>
  <r>
    <x v="124"/>
    <x v="0"/>
    <d v="2024-09-08T00:00:00"/>
    <x v="3"/>
    <s v="Explore the latest carousel on Myntra! Trendy styles await."/>
    <n v="3811"/>
    <n v="866"/>
    <n v="216"/>
    <n v="34299"/>
    <n v="34088"/>
    <n v="233"/>
    <s v="#StyleWithMyntra"/>
    <x v="2"/>
    <n v="0.14265722032712325"/>
    <d v="2024-09-08T00:00:00"/>
    <s v="Before Campaign"/>
  </r>
  <r>
    <x v="125"/>
    <x v="2"/>
    <d v="2025-03-28T00:00:00"/>
    <x v="3"/>
    <s v="Explore the latest carousel on Myntra! Trendy styles await."/>
    <n v="4158"/>
    <n v="167"/>
    <n v="241"/>
    <n v="45738"/>
    <n v="45183"/>
    <n v="142"/>
    <s v="#MyntraFashion"/>
    <x v="1"/>
    <n v="9.9829463465827106E-2"/>
    <d v="2025-03-23T00:00:00"/>
    <s v="Outside Campaign"/>
  </r>
  <r>
    <x v="126"/>
    <x v="3"/>
    <d v="2025-01-27T00:00:00"/>
    <x v="0"/>
    <s v="Explore the latest reel on Myntra! Trendy styles await."/>
    <n v="3452"/>
    <n v="652"/>
    <n v="442"/>
    <n v="65588"/>
    <n v="65049"/>
    <n v="158"/>
    <s v="#MyntraSale,#StyleWithMyntra"/>
    <x v="0"/>
    <n v="6.9311459413307311E-2"/>
    <d v="2025-01-26T00:00:00"/>
    <s v="During Campaign"/>
  </r>
  <r>
    <x v="127"/>
    <x v="0"/>
    <d v="2025-01-10T00:00:00"/>
    <x v="4"/>
    <s v="Explore the latest image on Myntra! Trendy styles await."/>
    <n v="3092"/>
    <n v="106"/>
    <n v="291"/>
    <n v="27828"/>
    <n v="27217"/>
    <n v="102"/>
    <s v="#StyleWithMyntra"/>
    <x v="3"/>
    <n v="0.12537731780940059"/>
    <d v="2025-01-05T00:00:00"/>
    <s v="During Campaign"/>
  </r>
  <r>
    <x v="128"/>
    <x v="0"/>
    <d v="2024-07-21T00:00:00"/>
    <x v="1"/>
    <s v="Explore the latest text on Myntra! Trendy styles await."/>
    <n v="2147"/>
    <n v="430"/>
    <n v="393"/>
    <n v="17176"/>
    <n v="16483"/>
    <n v="170"/>
    <s v="#FashionDeals"/>
    <x v="3"/>
    <n v="0.17291569632044715"/>
    <d v="2024-07-21T00:00:00"/>
    <s v="Before Campaign"/>
  </r>
  <r>
    <x v="129"/>
    <x v="1"/>
    <d v="2024-09-29T00:00:00"/>
    <x v="0"/>
    <s v="Explore the latest reel on Myntra! Trendy styles await."/>
    <n v="2936"/>
    <n v="439"/>
    <n v="44"/>
    <n v="38168"/>
    <n v="37571"/>
    <n v="22"/>
    <s v="#MyntraSale"/>
    <x v="2"/>
    <n v="8.9577656675749323E-2"/>
    <d v="2024-09-29T00:00:00"/>
    <s v="Before Campaign"/>
  </r>
  <r>
    <x v="130"/>
    <x v="2"/>
    <d v="2024-10-21T00:00:00"/>
    <x v="0"/>
    <s v="Explore the latest reel on Myntra! Trendy styles await."/>
    <n v="4840"/>
    <n v="658"/>
    <n v="211"/>
    <n v="43560"/>
    <n v="43225"/>
    <n v="57"/>
    <s v="#MyntraSale,#MyntraFashion"/>
    <x v="1"/>
    <n v="0.13106060606060607"/>
    <d v="2024-10-20T00:00:00"/>
    <s v="During Campaign"/>
  </r>
  <r>
    <x v="131"/>
    <x v="2"/>
    <d v="2025-03-04T00:00:00"/>
    <x v="2"/>
    <s v="Explore the latest story on Myntra! Trendy styles await."/>
    <n v="1947"/>
    <n v="842"/>
    <n v="101"/>
    <n v="21417"/>
    <n v="20967"/>
    <n v="186"/>
    <s v="#MyntraFashion"/>
    <x v="1"/>
    <n v="0.13493953401503478"/>
    <d v="2025-03-02T00:00:00"/>
    <s v="Outside Campaign"/>
  </r>
  <r>
    <x v="132"/>
    <x v="3"/>
    <d v="2025-02-06T00:00:00"/>
    <x v="4"/>
    <s v="Explore the latest image on Myntra! Trendy styles await."/>
    <n v="2072"/>
    <n v="532"/>
    <n v="71"/>
    <n v="37296"/>
    <n v="36467"/>
    <n v="25"/>
    <s v="#MyntraSale"/>
    <x v="2"/>
    <n v="7.172350922350923E-2"/>
    <d v="2025-02-02T00:00:00"/>
    <s v="During Campaign"/>
  </r>
  <r>
    <x v="133"/>
    <x v="0"/>
    <d v="2025-04-24T00:00:00"/>
    <x v="0"/>
    <s v="Explore the latest reel on Myntra! Trendy styles await."/>
    <n v="3731"/>
    <n v="115"/>
    <n v="135"/>
    <n v="55965"/>
    <n v="55436"/>
    <n v="103"/>
    <s v="#FashionDeals"/>
    <x v="3"/>
    <n v="7.1133744304476013E-2"/>
    <d v="2025-04-20T00:00:00"/>
    <s v="Outside Campaign"/>
  </r>
  <r>
    <x v="134"/>
    <x v="3"/>
    <d v="2024-11-28T00:00:00"/>
    <x v="1"/>
    <s v="Explore the latest text on Myntra! Trendy styles await."/>
    <n v="4213"/>
    <n v="253"/>
    <n v="434"/>
    <n v="75834"/>
    <n v="75437"/>
    <n v="272"/>
    <s v="#MyntraTrend"/>
    <x v="2"/>
    <n v="6.461481657304112E-2"/>
    <d v="2024-11-24T00:00:00"/>
    <s v="Outside Campaign"/>
  </r>
  <r>
    <x v="135"/>
    <x v="2"/>
    <d v="2024-07-11T00:00:00"/>
    <x v="1"/>
    <s v="Explore the latest text on Myntra! Trendy styles await."/>
    <n v="3134"/>
    <n v="888"/>
    <n v="444"/>
    <n v="21938"/>
    <n v="21337"/>
    <n v="130"/>
    <s v="#MyntraSale,#MyntraFashion"/>
    <x v="3"/>
    <n v="0.20357370772176134"/>
    <d v="2024-07-07T00:00:00"/>
    <s v="Before Campaign"/>
  </r>
  <r>
    <x v="136"/>
    <x v="3"/>
    <d v="2024-07-31T00:00:00"/>
    <x v="5"/>
    <s v="Explore the latest video on Myntra! Trendy styles await."/>
    <n v="3008"/>
    <n v="94"/>
    <n v="37"/>
    <n v="15040"/>
    <n v="14639"/>
    <n v="277"/>
    <s v="#FashionDeals"/>
    <x v="0"/>
    <n v="0.20871010638297871"/>
    <d v="2024-07-28T00:00:00"/>
    <s v="Before Campaign"/>
  </r>
  <r>
    <x v="137"/>
    <x v="0"/>
    <d v="2025-03-29T00:00:00"/>
    <x v="4"/>
    <s v="Explore the latest image on Myntra! Trendy styles await."/>
    <n v="305"/>
    <n v="187"/>
    <n v="243"/>
    <n v="4575"/>
    <n v="3704"/>
    <n v="234"/>
    <s v="#MyntraFashion,#MyntraTrend"/>
    <x v="3"/>
    <n v="0.16065573770491803"/>
    <d v="2025-03-23T00:00:00"/>
    <s v="Outside Campaign"/>
  </r>
  <r>
    <x v="138"/>
    <x v="1"/>
    <d v="2024-10-29T00:00:00"/>
    <x v="1"/>
    <s v="Explore the latest text on Myntra! Trendy styles await."/>
    <n v="2746"/>
    <n v="156"/>
    <n v="203"/>
    <n v="32952"/>
    <n v="32147"/>
    <n v="147"/>
    <s v="#MyntraFashion,#StyleWithMyntra"/>
    <x v="1"/>
    <n v="9.422796795338674E-2"/>
    <d v="2024-10-27T00:00:00"/>
    <s v="During Campaign"/>
  </r>
  <r>
    <x v="139"/>
    <x v="3"/>
    <d v="2024-07-15T00:00:00"/>
    <x v="4"/>
    <s v="Explore the latest image on Myntra! Trendy styles await."/>
    <n v="2291"/>
    <n v="78"/>
    <n v="485"/>
    <n v="18328"/>
    <n v="18101"/>
    <n v="10"/>
    <s v="#FashionDeals"/>
    <x v="0"/>
    <n v="0.15571802706241816"/>
    <d v="2024-07-14T00:00:00"/>
    <s v="Before Campaign"/>
  </r>
  <r>
    <x v="140"/>
    <x v="0"/>
    <d v="2024-08-31T00:00:00"/>
    <x v="4"/>
    <s v="Explore the latest image on Myntra! Trendy styles await."/>
    <n v="3170"/>
    <n v="857"/>
    <n v="379"/>
    <n v="19020"/>
    <n v="18559"/>
    <n v="240"/>
    <s v="#MyntraSale"/>
    <x v="2"/>
    <n v="0.2316508937960042"/>
    <d v="2024-08-25T00:00:00"/>
    <s v="During Campaign"/>
  </r>
  <r>
    <x v="141"/>
    <x v="1"/>
    <d v="2025-03-25T00:00:00"/>
    <x v="2"/>
    <s v="Explore the latest story on Myntra! Trendy styles await."/>
    <n v="2070"/>
    <n v="275"/>
    <n v="386"/>
    <n v="39330"/>
    <n v="38627"/>
    <n v="114"/>
    <s v="#MyntraSale"/>
    <x v="3"/>
    <n v="6.9438087973557078E-2"/>
    <d v="2025-03-23T00:00:00"/>
    <s v="Outside Campaign"/>
  </r>
  <r>
    <x v="142"/>
    <x v="1"/>
    <d v="2024-10-02T00:00:00"/>
    <x v="3"/>
    <s v="Explore the latest carousel on Myntra! Trendy styles await."/>
    <n v="80"/>
    <n v="362"/>
    <n v="80"/>
    <n v="1040"/>
    <n v="349"/>
    <n v="117"/>
    <s v="#MyntraFashion,#StyleWithMyntra"/>
    <x v="1"/>
    <n v="0.50192307692307692"/>
    <d v="2024-09-29T00:00:00"/>
    <s v="Before Campaign"/>
  </r>
  <r>
    <x v="143"/>
    <x v="1"/>
    <d v="2024-10-28T00:00:00"/>
    <x v="2"/>
    <s v="Explore the latest story on Myntra! Trendy styles await."/>
    <n v="4929"/>
    <n v="749"/>
    <n v="452"/>
    <n v="93651"/>
    <n v="92810"/>
    <n v="66"/>
    <s v="#MyntraTrend,#StyleWithMyntra"/>
    <x v="0"/>
    <n v="6.5455787978772245E-2"/>
    <d v="2024-10-27T00:00:00"/>
    <s v="During Campaign"/>
  </r>
  <r>
    <x v="144"/>
    <x v="2"/>
    <d v="2024-08-12T00:00:00"/>
    <x v="3"/>
    <s v="Explore the latest carousel on Myntra! Trendy styles await."/>
    <n v="1878"/>
    <n v="62"/>
    <n v="179"/>
    <n v="37560"/>
    <n v="36874"/>
    <n v="142"/>
    <s v="#FashionDeals,#MyntraTrend"/>
    <x v="0"/>
    <n v="5.6416400425985093E-2"/>
    <d v="2024-08-11T00:00:00"/>
    <s v="During Campaign"/>
  </r>
  <r>
    <x v="145"/>
    <x v="1"/>
    <d v="2024-06-05T00:00:00"/>
    <x v="0"/>
    <s v="Explore the latest reel on Myntra! Trendy styles await."/>
    <n v="3065"/>
    <n v="772"/>
    <n v="142"/>
    <n v="18390"/>
    <n v="17875"/>
    <n v="200"/>
    <s v="#StyleWithMyntra"/>
    <x v="0"/>
    <n v="0.21636759108210984"/>
    <d v="2024-06-02T00:00:00"/>
    <s v="Before Campaign"/>
  </r>
  <r>
    <x v="146"/>
    <x v="2"/>
    <d v="2024-10-21T00:00:00"/>
    <x v="0"/>
    <s v="Explore the latest reel on Myntra! Trendy styles await."/>
    <n v="3256"/>
    <n v="459"/>
    <n v="266"/>
    <n v="26048"/>
    <n v="25529"/>
    <n v="143"/>
    <s v="#MyntraSale,#StyleWithMyntra"/>
    <x v="2"/>
    <n v="0.15283323095823095"/>
    <d v="2024-10-20T00:00:00"/>
    <s v="During Campaign"/>
  </r>
  <r>
    <x v="147"/>
    <x v="2"/>
    <d v="2025-04-15T00:00:00"/>
    <x v="5"/>
    <s v="Explore the latest video on Myntra! Trendy styles await."/>
    <n v="4133"/>
    <n v="466"/>
    <n v="327"/>
    <n v="24798"/>
    <n v="24620"/>
    <n v="176"/>
    <s v="#StyleWithMyntra"/>
    <x v="1"/>
    <n v="0.19864505202032423"/>
    <d v="2025-04-13T00:00:00"/>
    <s v="Outside Campaign"/>
  </r>
  <r>
    <x v="148"/>
    <x v="0"/>
    <d v="2024-06-16T00:00:00"/>
    <x v="5"/>
    <s v="Explore the latest video on Myntra! Trendy styles await."/>
    <n v="1702"/>
    <n v="750"/>
    <n v="179"/>
    <n v="34040"/>
    <n v="33174"/>
    <n v="76"/>
    <s v="#MyntraTrend"/>
    <x v="2"/>
    <n v="7.7291421856639245E-2"/>
    <d v="2024-06-16T00:00:00"/>
    <s v="During Campaign"/>
  </r>
  <r>
    <x v="149"/>
    <x v="1"/>
    <d v="2024-08-22T00:00:00"/>
    <x v="3"/>
    <s v="Explore the latest carousel on Myntra! Trendy styles await."/>
    <n v="4295"/>
    <n v="853"/>
    <n v="325"/>
    <n v="85900"/>
    <n v="85788"/>
    <n v="290"/>
    <s v="#MyntraTrend,#MyntraSale"/>
    <x v="1"/>
    <n v="6.3713620488940623E-2"/>
    <d v="2024-08-18T00:00:00"/>
    <s v="During Campaign"/>
  </r>
  <r>
    <x v="150"/>
    <x v="2"/>
    <d v="2024-07-26T00:00:00"/>
    <x v="4"/>
    <s v="Explore the latest image on Myntra! Trendy styles await."/>
    <n v="3559"/>
    <n v="59"/>
    <n v="289"/>
    <n v="35590"/>
    <n v="35105"/>
    <n v="122"/>
    <s v="#MyntraTrend,#StyleWithMyntra"/>
    <x v="2"/>
    <n v="0.10977802753582468"/>
    <d v="2024-07-21T00:00:00"/>
    <s v="Before Campaign"/>
  </r>
  <r>
    <x v="151"/>
    <x v="3"/>
    <d v="2025-04-22T00:00:00"/>
    <x v="4"/>
    <s v="Explore the latest image on Myntra! Trendy styles await."/>
    <n v="4804"/>
    <n v="550"/>
    <n v="270"/>
    <n v="28824"/>
    <n v="28370"/>
    <n v="47"/>
    <s v="#MyntraSale,#StyleWithMyntra"/>
    <x v="3"/>
    <n v="0.19511518179295032"/>
    <d v="2025-04-20T00:00:00"/>
    <s v="Outside Campaign"/>
  </r>
  <r>
    <x v="152"/>
    <x v="0"/>
    <d v="2025-01-01T00:00:00"/>
    <x v="5"/>
    <s v="Explore the latest video on Myntra! Trendy styles await."/>
    <n v="754"/>
    <n v="197"/>
    <n v="257"/>
    <n v="6786"/>
    <n v="6221"/>
    <n v="212"/>
    <s v="#FashionDeals,#MyntraTrend"/>
    <x v="2"/>
    <n v="0.17801355732390214"/>
    <d v="2024-12-29T00:00:00"/>
    <s v="Before Campaign"/>
  </r>
  <r>
    <x v="153"/>
    <x v="2"/>
    <d v="2024-10-09T00:00:00"/>
    <x v="3"/>
    <s v="Explore the latest carousel on Myntra! Trendy styles await."/>
    <n v="985"/>
    <n v="932"/>
    <n v="287"/>
    <n v="6895"/>
    <n v="6757"/>
    <n v="64"/>
    <s v="#MyntraSale,#MyntraFashion"/>
    <x v="1"/>
    <n v="0.31965192168237855"/>
    <d v="2024-10-06T00:00:00"/>
    <s v="During Campaign"/>
  </r>
  <r>
    <x v="154"/>
    <x v="1"/>
    <d v="2024-12-21T00:00:00"/>
    <x v="4"/>
    <s v="Explore the latest image on Myntra! Trendy styles await."/>
    <n v="2283"/>
    <n v="210"/>
    <n v="130"/>
    <n v="22830"/>
    <n v="22617"/>
    <n v="143"/>
    <s v="#MyntraFashion,#StyleWithMyntra"/>
    <x v="2"/>
    <n v="0.11489268506351293"/>
    <d v="2024-12-15T00:00:00"/>
    <s v="Before Campaign"/>
  </r>
  <r>
    <x v="155"/>
    <x v="3"/>
    <d v="2024-10-22T00:00:00"/>
    <x v="3"/>
    <s v="Explore the latest carousel on Myntra! Trendy styles await."/>
    <n v="3352"/>
    <n v="941"/>
    <n v="482"/>
    <n v="43576"/>
    <n v="43338"/>
    <n v="240"/>
    <s v="#MyntraTrend"/>
    <x v="2"/>
    <n v="0.1095786671562328"/>
    <d v="2024-10-20T00:00:00"/>
    <s v="During Campaign"/>
  </r>
  <r>
    <x v="156"/>
    <x v="1"/>
    <d v="2024-07-23T00:00:00"/>
    <x v="2"/>
    <s v="Explore the latest story on Myntra! Trendy styles await."/>
    <n v="4775"/>
    <n v="173"/>
    <n v="206"/>
    <n v="47750"/>
    <n v="47544"/>
    <n v="187"/>
    <s v="#StyleWithMyntra,#MyntraTrend"/>
    <x v="3"/>
    <n v="0.10793717277486911"/>
    <d v="2024-07-21T00:00:00"/>
    <s v="Before Campaign"/>
  </r>
  <r>
    <x v="157"/>
    <x v="2"/>
    <d v="2024-08-11T00:00:00"/>
    <x v="2"/>
    <s v="Explore the latest story on Myntra! Trendy styles await."/>
    <n v="1762"/>
    <n v="405"/>
    <n v="423"/>
    <n v="22906"/>
    <n v="21925"/>
    <n v="25"/>
    <s v="#FashionDeals"/>
    <x v="1"/>
    <n v="0.11307081114118571"/>
    <d v="2024-08-11T00:00:00"/>
    <s v="During Campaign"/>
  </r>
  <r>
    <x v="158"/>
    <x v="3"/>
    <d v="2024-11-25T00:00:00"/>
    <x v="2"/>
    <s v="Explore the latest story on Myntra! Trendy styles await."/>
    <n v="2120"/>
    <n v="158"/>
    <n v="488"/>
    <n v="12720"/>
    <n v="12085"/>
    <n v="17"/>
    <s v="#StyleWithMyntra,#MyntraTrend"/>
    <x v="1"/>
    <n v="0.21745283018867925"/>
    <d v="2024-11-24T00:00:00"/>
    <s v="Outside Campaign"/>
  </r>
  <r>
    <x v="159"/>
    <x v="0"/>
    <d v="2024-08-24T00:00:00"/>
    <x v="5"/>
    <s v="Explore the latest video on Myntra! Trendy styles await."/>
    <n v="1082"/>
    <n v="209"/>
    <n v="484"/>
    <n v="19476"/>
    <n v="18654"/>
    <n v="20"/>
    <s v="#StyleWithMyntra"/>
    <x v="3"/>
    <n v="9.1137810638734856E-2"/>
    <d v="2024-08-18T00:00:00"/>
    <s v="During Campaign"/>
  </r>
  <r>
    <x v="160"/>
    <x v="0"/>
    <d v="2025-02-19T00:00:00"/>
    <x v="1"/>
    <s v="Explore the latest text on Myntra! Trendy styles await."/>
    <n v="4671"/>
    <n v="876"/>
    <n v="366"/>
    <n v="51381"/>
    <n v="50565"/>
    <n v="245"/>
    <s v="#MyntraSale"/>
    <x v="1"/>
    <n v="0.11508145034156594"/>
    <d v="2025-02-16T00:00:00"/>
    <s v="Outside Campaign"/>
  </r>
  <r>
    <x v="161"/>
    <x v="3"/>
    <d v="2025-04-01T00:00:00"/>
    <x v="2"/>
    <s v="Explore the latest story on Myntra! Trendy styles await."/>
    <n v="3430"/>
    <n v="566"/>
    <n v="164"/>
    <n v="48020"/>
    <n v="47305"/>
    <n v="120"/>
    <s v="#MyntraTrend"/>
    <x v="1"/>
    <n v="8.6630570595585168E-2"/>
    <d v="2025-03-30T00:00:00"/>
    <s v="Outside Campaign"/>
  </r>
  <r>
    <x v="162"/>
    <x v="2"/>
    <d v="2025-04-08T00:00:00"/>
    <x v="4"/>
    <s v="Explore the latest image on Myntra! Trendy styles await."/>
    <n v="4501"/>
    <n v="375"/>
    <n v="323"/>
    <n v="22505"/>
    <n v="21836"/>
    <n v="132"/>
    <s v="#MyntraFashion"/>
    <x v="3"/>
    <n v="0.23101532992668297"/>
    <d v="2025-04-06T00:00:00"/>
    <s v="Outside Campaign"/>
  </r>
  <r>
    <x v="163"/>
    <x v="1"/>
    <d v="2025-02-27T00:00:00"/>
    <x v="1"/>
    <s v="Explore the latest text on Myntra! Trendy styles await."/>
    <n v="4934"/>
    <n v="971"/>
    <n v="156"/>
    <n v="39472"/>
    <n v="39025"/>
    <n v="169"/>
    <s v="#FashionDeals,#StyleWithMyntra"/>
    <x v="1"/>
    <n v="0.15355188488042157"/>
    <d v="2025-02-23T00:00:00"/>
    <s v="Outside Campaign"/>
  </r>
  <r>
    <x v="164"/>
    <x v="0"/>
    <d v="2024-12-11T00:00:00"/>
    <x v="1"/>
    <s v="Explore the latest text on Myntra! Trendy styles await."/>
    <n v="3239"/>
    <n v="43"/>
    <n v="211"/>
    <n v="22673"/>
    <n v="22171"/>
    <n v="230"/>
    <s v="#MyntraTrend,#StyleWithMyntra"/>
    <x v="1"/>
    <n v="0.15405989502933004"/>
    <d v="2024-12-08T00:00:00"/>
    <s v="Before Campaign"/>
  </r>
  <r>
    <x v="165"/>
    <x v="0"/>
    <d v="2025-02-16T00:00:00"/>
    <x v="0"/>
    <s v="Explore the latest reel on Myntra! Trendy styles await."/>
    <n v="1076"/>
    <n v="313"/>
    <n v="306"/>
    <n v="11836"/>
    <n v="11596"/>
    <n v="104"/>
    <s v="#FashionDeals"/>
    <x v="1"/>
    <n v="0.14320716458262928"/>
    <d v="2025-02-16T00:00:00"/>
    <s v="Outside Campaign"/>
  </r>
  <r>
    <x v="166"/>
    <x v="2"/>
    <d v="2024-11-28T00:00:00"/>
    <x v="1"/>
    <s v="Explore the latest text on Myntra! Trendy styles await."/>
    <n v="4771"/>
    <n v="818"/>
    <n v="56"/>
    <n v="57252"/>
    <n v="56378"/>
    <n v="150"/>
    <s v="#MyntraSale"/>
    <x v="1"/>
    <n v="9.859917557465242E-2"/>
    <d v="2024-11-24T00:00:00"/>
    <s v="Outside Campaign"/>
  </r>
  <r>
    <x v="167"/>
    <x v="3"/>
    <d v="2024-11-12T00:00:00"/>
    <x v="1"/>
    <s v="Explore the latest text on Myntra! Trendy styles await."/>
    <n v="2418"/>
    <n v="754"/>
    <n v="54"/>
    <n v="43524"/>
    <n v="42743"/>
    <n v="182"/>
    <s v="#MyntraFashion,#MyntraTrend"/>
    <x v="3"/>
    <n v="7.412002573292896E-2"/>
    <d v="2024-11-10T00:00:00"/>
    <s v="Outside Campaign"/>
  </r>
  <r>
    <x v="168"/>
    <x v="1"/>
    <d v="2024-12-03T00:00:00"/>
    <x v="5"/>
    <s v="Explore the latest video on Myntra! Trendy styles await."/>
    <n v="3809"/>
    <n v="273"/>
    <n v="200"/>
    <n v="34281"/>
    <n v="33534"/>
    <n v="83"/>
    <s v="#MyntraTrend"/>
    <x v="2"/>
    <n v="0.12490884163239112"/>
    <d v="2024-12-01T00:00:00"/>
    <s v="Outside Campaign"/>
  </r>
  <r>
    <x v="169"/>
    <x v="0"/>
    <d v="2025-04-28T00:00:00"/>
    <x v="1"/>
    <s v="Explore the latest text on Myntra! Trendy styles await."/>
    <n v="3577"/>
    <n v="596"/>
    <n v="493"/>
    <n v="67963"/>
    <n v="67839"/>
    <n v="53"/>
    <s v="#StyleWithMyntra,#MyntraTrend"/>
    <x v="3"/>
    <n v="6.8655003457763777E-2"/>
    <d v="2025-04-27T00:00:00"/>
    <s v="Outside Campaign"/>
  </r>
  <r>
    <x v="170"/>
    <x v="1"/>
    <d v="2024-12-31T00:00:00"/>
    <x v="5"/>
    <s v="Explore the latest video on Myntra! Trendy styles await."/>
    <n v="1018"/>
    <n v="447"/>
    <n v="332"/>
    <n v="18324"/>
    <n v="18164"/>
    <n v="38"/>
    <s v="#MyntraSale,#MyntraFashion"/>
    <x v="3"/>
    <n v="9.8068107400130972E-2"/>
    <d v="2024-12-29T00:00:00"/>
    <s v="Before Campaign"/>
  </r>
  <r>
    <x v="171"/>
    <x v="3"/>
    <d v="2024-08-14T00:00:00"/>
    <x v="3"/>
    <s v="Explore the latest carousel on Myntra! Trendy styles await."/>
    <n v="3073"/>
    <n v="553"/>
    <n v="174"/>
    <n v="52241"/>
    <n v="51605"/>
    <n v="246"/>
    <s v="#MyntraFashion,#StyleWithMyntra"/>
    <x v="3"/>
    <n v="7.2739802071170159E-2"/>
    <d v="2024-08-11T00:00:00"/>
    <s v="During Campaign"/>
  </r>
  <r>
    <x v="172"/>
    <x v="0"/>
    <d v="2024-12-05T00:00:00"/>
    <x v="5"/>
    <s v="Explore the latest video on Myntra! Trendy styles await."/>
    <n v="1330"/>
    <n v="925"/>
    <n v="35"/>
    <n v="15960"/>
    <n v="15379"/>
    <n v="229"/>
    <s v="#FashionDeals,#MyntraTrend"/>
    <x v="3"/>
    <n v="0.14348370927318296"/>
    <d v="2024-12-01T00:00:00"/>
    <s v="Outside Campaign"/>
  </r>
  <r>
    <x v="173"/>
    <x v="3"/>
    <d v="2024-06-22T00:00:00"/>
    <x v="1"/>
    <s v="Explore the latest text on Myntra! Trendy styles await."/>
    <n v="3828"/>
    <n v="148"/>
    <n v="253"/>
    <n v="30624"/>
    <n v="30229"/>
    <n v="235"/>
    <s v="#MyntraSale,#StyleWithMyntra"/>
    <x v="3"/>
    <n v="0.13809430512016718"/>
    <d v="2024-06-16T00:00:00"/>
    <s v="During Campaign"/>
  </r>
  <r>
    <x v="174"/>
    <x v="2"/>
    <d v="2025-01-17T00:00:00"/>
    <x v="0"/>
    <s v="Explore the latest reel on Myntra! Trendy styles await."/>
    <n v="142"/>
    <n v="784"/>
    <n v="183"/>
    <n v="1704"/>
    <n v="995"/>
    <n v="154"/>
    <s v="#MyntraSale"/>
    <x v="0"/>
    <n v="0.6508215962441315"/>
    <d v="2025-01-12T00:00:00"/>
    <s v="During Campaign"/>
  </r>
  <r>
    <x v="175"/>
    <x v="3"/>
    <d v="2024-06-20T00:00:00"/>
    <x v="5"/>
    <s v="Explore the latest video on Myntra! Trendy styles await."/>
    <n v="3798"/>
    <n v="31"/>
    <n v="279"/>
    <n v="75960"/>
    <n v="75813"/>
    <n v="266"/>
    <s v="#MyntraFashion"/>
    <x v="1"/>
    <n v="5.4081095313322801E-2"/>
    <d v="2024-06-16T00:00:00"/>
    <s v="During Campaign"/>
  </r>
  <r>
    <x v="176"/>
    <x v="2"/>
    <d v="2024-07-10T00:00:00"/>
    <x v="3"/>
    <s v="Explore the latest carousel on Myntra! Trendy styles await."/>
    <n v="3099"/>
    <n v="694"/>
    <n v="171"/>
    <n v="43386"/>
    <n v="42921"/>
    <n v="52"/>
    <s v="#FashionDeals"/>
    <x v="3"/>
    <n v="9.1365878393951966E-2"/>
    <d v="2024-07-07T00:00:00"/>
    <s v="Before Campaign"/>
  </r>
  <r>
    <x v="177"/>
    <x v="2"/>
    <d v="2024-11-07T00:00:00"/>
    <x v="5"/>
    <s v="Explore the latest video on Myntra! Trendy styles await."/>
    <n v="129"/>
    <n v="643"/>
    <n v="136"/>
    <n v="1290"/>
    <n v="839"/>
    <n v="238"/>
    <s v="#StyleWithMyntra,#FashionDeals"/>
    <x v="3"/>
    <n v="0.70387596899224802"/>
    <d v="2024-11-03T00:00:00"/>
    <s v="Outside Campaign"/>
  </r>
  <r>
    <x v="178"/>
    <x v="3"/>
    <d v="2024-07-15T00:00:00"/>
    <x v="3"/>
    <s v="Explore the latest carousel on Myntra! Trendy styles await."/>
    <n v="3796"/>
    <n v="667"/>
    <n v="395"/>
    <n v="64532"/>
    <n v="63550"/>
    <n v="292"/>
    <s v="#StyleWithMyntra"/>
    <x v="0"/>
    <n v="7.5280481001673588E-2"/>
    <d v="2024-07-14T00:00:00"/>
    <s v="Before Campaign"/>
  </r>
  <r>
    <x v="179"/>
    <x v="1"/>
    <d v="2024-12-03T00:00:00"/>
    <x v="1"/>
    <s v="Explore the latest text on Myntra! Trendy styles await."/>
    <n v="3711"/>
    <n v="352"/>
    <n v="290"/>
    <n v="48243"/>
    <n v="47579"/>
    <n v="11"/>
    <s v="#StyleWithMyntra,#FashionDeals"/>
    <x v="3"/>
    <n v="9.023070704558174E-2"/>
    <d v="2024-12-01T00:00:00"/>
    <s v="Outside Campaign"/>
  </r>
  <r>
    <x v="180"/>
    <x v="1"/>
    <d v="2025-03-21T00:00:00"/>
    <x v="4"/>
    <s v="Explore the latest image on Myntra! Trendy styles await."/>
    <n v="606"/>
    <n v="789"/>
    <n v="470"/>
    <n v="7878"/>
    <n v="7389"/>
    <n v="239"/>
    <s v="#MyntraSale"/>
    <x v="1"/>
    <n v="0.23673521198273673"/>
    <d v="2025-03-16T00:00:00"/>
    <s v="Outside Campaign"/>
  </r>
  <r>
    <x v="181"/>
    <x v="3"/>
    <d v="2024-07-31T00:00:00"/>
    <x v="4"/>
    <s v="Explore the latest image on Myntra! Trendy styles await."/>
    <n v="4689"/>
    <n v="134"/>
    <n v="403"/>
    <n v="51579"/>
    <n v="50924"/>
    <n v="173"/>
    <s v="#FashionDeals"/>
    <x v="0"/>
    <n v="0.10132030477519921"/>
    <d v="2024-07-28T00:00:00"/>
    <s v="Before Campaign"/>
  </r>
  <r>
    <x v="182"/>
    <x v="2"/>
    <d v="2024-12-17T00:00:00"/>
    <x v="2"/>
    <s v="Explore the latest story on Myntra! Trendy styles await."/>
    <n v="360"/>
    <n v="590"/>
    <n v="393"/>
    <n v="4680"/>
    <n v="4322"/>
    <n v="208"/>
    <s v="#StyleWithMyntra,#FashionDeals"/>
    <x v="1"/>
    <n v="0.28696581196581195"/>
    <d v="2024-12-15T00:00:00"/>
    <s v="Before Campaign"/>
  </r>
  <r>
    <x v="183"/>
    <x v="0"/>
    <d v="2024-07-28T00:00:00"/>
    <x v="4"/>
    <s v="Explore the latest image on Myntra! Trendy styles await."/>
    <n v="3215"/>
    <n v="960"/>
    <n v="202"/>
    <n v="32150"/>
    <n v="31404"/>
    <n v="251"/>
    <s v="#StyleWithMyntra"/>
    <x v="2"/>
    <n v="0.13614307931570763"/>
    <d v="2024-07-28T00:00:00"/>
    <s v="Before Campaign"/>
  </r>
  <r>
    <x v="184"/>
    <x v="2"/>
    <d v="2025-01-11T00:00:00"/>
    <x v="3"/>
    <s v="Explore the latest carousel on Myntra! Trendy styles await."/>
    <n v="4523"/>
    <n v="61"/>
    <n v="157"/>
    <n v="49753"/>
    <n v="49329"/>
    <n v="71"/>
    <s v="#MyntraSale,#MyntraTrend"/>
    <x v="3"/>
    <n v="9.5290736237010829E-2"/>
    <d v="2025-01-05T00:00:00"/>
    <s v="During Campaign"/>
  </r>
  <r>
    <x v="185"/>
    <x v="3"/>
    <d v="2024-08-24T00:00:00"/>
    <x v="3"/>
    <s v="Explore the latest carousel on Myntra! Trendy styles await."/>
    <n v="4292"/>
    <n v="51"/>
    <n v="392"/>
    <n v="55796"/>
    <n v="54826"/>
    <n v="264"/>
    <s v="#MyntraTrend,#StyleWithMyntra"/>
    <x v="0"/>
    <n v="8.4862714173059003E-2"/>
    <d v="2024-08-18T00:00:00"/>
    <s v="During Campaign"/>
  </r>
  <r>
    <x v="186"/>
    <x v="0"/>
    <d v="2024-12-22T00:00:00"/>
    <x v="0"/>
    <s v="Explore the latest reel on Myntra! Trendy styles await."/>
    <n v="1644"/>
    <n v="546"/>
    <n v="150"/>
    <n v="27948"/>
    <n v="27184"/>
    <n v="300"/>
    <s v="#MyntraSale,#MyntraTrend"/>
    <x v="0"/>
    <n v="8.3726921425504502E-2"/>
    <d v="2024-12-22T00:00:00"/>
    <s v="Before Campaign"/>
  </r>
  <r>
    <x v="187"/>
    <x v="1"/>
    <d v="2024-06-06T00:00:00"/>
    <x v="0"/>
    <s v="Explore the latest reel on Myntra! Trendy styles await."/>
    <n v="2728"/>
    <n v="533"/>
    <n v="215"/>
    <n v="40920"/>
    <n v="40816"/>
    <n v="137"/>
    <s v="#MyntraSale"/>
    <x v="1"/>
    <n v="8.4946236559139784E-2"/>
    <d v="2024-06-02T00:00:00"/>
    <s v="Before Campaign"/>
  </r>
  <r>
    <x v="188"/>
    <x v="3"/>
    <d v="2025-03-24T00:00:00"/>
    <x v="0"/>
    <s v="Explore the latest reel on Myntra! Trendy styles await."/>
    <n v="3360"/>
    <n v="525"/>
    <n v="500"/>
    <n v="60480"/>
    <n v="59610"/>
    <n v="192"/>
    <s v="#MyntraSale,#StyleWithMyntra"/>
    <x v="0"/>
    <n v="7.2503306878306875E-2"/>
    <d v="2025-03-23T00:00:00"/>
    <s v="Outside Campaign"/>
  </r>
  <r>
    <x v="189"/>
    <x v="1"/>
    <d v="2024-10-04T00:00:00"/>
    <x v="1"/>
    <s v="Explore the latest text on Myntra! Trendy styles await."/>
    <n v="1963"/>
    <n v="213"/>
    <n v="19"/>
    <n v="39260"/>
    <n v="38771"/>
    <n v="145"/>
    <s v="#StyleWithMyntra"/>
    <x v="0"/>
    <n v="5.5909322465613857E-2"/>
    <d v="2024-09-29T00:00:00"/>
    <s v="Before Campaign"/>
  </r>
  <r>
    <x v="190"/>
    <x v="1"/>
    <d v="2024-12-03T00:00:00"/>
    <x v="2"/>
    <s v="Explore the latest story on Myntra! Trendy styles await."/>
    <n v="4285"/>
    <n v="886"/>
    <n v="376"/>
    <n v="55705"/>
    <n v="55556"/>
    <n v="51"/>
    <s v="#MyntraFashion,#FashionDeals"/>
    <x v="3"/>
    <n v="9.9578134817341346E-2"/>
    <d v="2024-12-01T00:00:00"/>
    <s v="Outside Campaign"/>
  </r>
  <r>
    <x v="191"/>
    <x v="2"/>
    <d v="2024-11-29T00:00:00"/>
    <x v="5"/>
    <s v="Explore the latest video on Myntra! Trendy styles await."/>
    <n v="1176"/>
    <n v="464"/>
    <n v="394"/>
    <n v="14112"/>
    <n v="13588"/>
    <n v="272"/>
    <s v="#FashionDeals"/>
    <x v="0"/>
    <n v="0.1441326530612245"/>
    <d v="2024-11-24T00:00:00"/>
    <s v="Outside Campaign"/>
  </r>
  <r>
    <x v="192"/>
    <x v="0"/>
    <d v="2024-09-11T00:00:00"/>
    <x v="4"/>
    <s v="Explore the latest image on Myntra! Trendy styles await."/>
    <n v="4858"/>
    <n v="317"/>
    <n v="129"/>
    <n v="53438"/>
    <n v="52687"/>
    <n v="223"/>
    <s v="#FashionDeals,#MyntraTrend"/>
    <x v="0"/>
    <n v="9.9255211647142488E-2"/>
    <d v="2024-09-08T00:00:00"/>
    <s v="Before Campaign"/>
  </r>
  <r>
    <x v="193"/>
    <x v="1"/>
    <d v="2024-10-02T00:00:00"/>
    <x v="2"/>
    <s v="Explore the latest story on Myntra! Trendy styles await."/>
    <n v="4350"/>
    <n v="771"/>
    <n v="7"/>
    <n v="60900"/>
    <n v="60592"/>
    <n v="195"/>
    <s v="#FashionDeals,#StyleWithMyntra"/>
    <x v="1"/>
    <n v="8.4203612479474554E-2"/>
    <d v="2024-09-29T00:00:00"/>
    <s v="Before Campaign"/>
  </r>
  <r>
    <x v="194"/>
    <x v="2"/>
    <d v="2024-08-15T00:00:00"/>
    <x v="3"/>
    <s v="Explore the latest carousel on Myntra! Trendy styles await."/>
    <n v="914"/>
    <n v="464"/>
    <n v="246"/>
    <n v="11882"/>
    <n v="11500"/>
    <n v="282"/>
    <s v="#MyntraFashion,#MyntraTrend"/>
    <x v="2"/>
    <n v="0.13667732704931829"/>
    <d v="2024-08-11T00:00:00"/>
    <s v="During Campaign"/>
  </r>
  <r>
    <x v="195"/>
    <x v="2"/>
    <d v="2024-12-19T00:00:00"/>
    <x v="1"/>
    <s v="Explore the latest text on Myntra! Trendy styles await."/>
    <n v="1813"/>
    <n v="623"/>
    <n v="72"/>
    <n v="19943"/>
    <n v="18959"/>
    <n v="85"/>
    <s v="#MyntraTrend,#MyntraFashion"/>
    <x v="2"/>
    <n v="0.12575841147269717"/>
    <d v="2024-12-15T00:00:00"/>
    <s v="Before Campaign"/>
  </r>
  <r>
    <x v="196"/>
    <x v="0"/>
    <d v="2024-10-22T00:00:00"/>
    <x v="0"/>
    <s v="Explore the latest reel on Myntra! Trendy styles await."/>
    <n v="4782"/>
    <n v="721"/>
    <n v="82"/>
    <n v="86076"/>
    <n v="85339"/>
    <n v="19"/>
    <s v="#FashionDeals"/>
    <x v="1"/>
    <n v="6.4884520656164318E-2"/>
    <d v="2024-10-20T00:00:00"/>
    <s v="During Campaign"/>
  </r>
  <r>
    <x v="197"/>
    <x v="0"/>
    <d v="2024-09-14T00:00:00"/>
    <x v="4"/>
    <s v="Explore the latest image on Myntra! Trendy styles await."/>
    <n v="1048"/>
    <n v="374"/>
    <n v="450"/>
    <n v="9432"/>
    <n v="8882"/>
    <n v="158"/>
    <s v="#MyntraTrend,#MyntraSale"/>
    <x v="1"/>
    <n v="0.19847328244274809"/>
    <d v="2024-09-08T00:00:00"/>
    <s v="Before Campaign"/>
  </r>
  <r>
    <x v="198"/>
    <x v="1"/>
    <d v="2024-11-30T00:00:00"/>
    <x v="3"/>
    <s v="Explore the latest carousel on Myntra! Trendy styles await."/>
    <n v="2509"/>
    <n v="324"/>
    <n v="171"/>
    <n v="35126"/>
    <n v="34685"/>
    <n v="277"/>
    <s v="#FashionDeals"/>
    <x v="1"/>
    <n v="8.5520696919660646E-2"/>
    <d v="2024-11-24T00:00:00"/>
    <s v="Outside Campaign"/>
  </r>
  <r>
    <x v="199"/>
    <x v="3"/>
    <d v="2025-04-07T00:00:00"/>
    <x v="0"/>
    <s v="Explore the latest reel on Myntra! Trendy styles await."/>
    <n v="3718"/>
    <n v="385"/>
    <n v="310"/>
    <n v="70642"/>
    <n v="69749"/>
    <n v="233"/>
    <s v="#MyntraTrend"/>
    <x v="0"/>
    <n v="6.246991874522239E-2"/>
    <d v="2025-04-06T00:00:00"/>
    <s v="Outside Campaign"/>
  </r>
  <r>
    <x v="200"/>
    <x v="0"/>
    <d v="2025-01-15T00:00:00"/>
    <x v="0"/>
    <s v="Explore the latest reel on Myntra! Trendy styles await."/>
    <n v="802"/>
    <n v="262"/>
    <n v="244"/>
    <n v="14436"/>
    <n v="14280"/>
    <n v="49"/>
    <s v="#MyntraSale,#FashionDeals"/>
    <x v="3"/>
    <n v="9.0606816292601824E-2"/>
    <d v="2025-01-12T00:00:00"/>
    <s v="During Campaign"/>
  </r>
  <r>
    <x v="201"/>
    <x v="3"/>
    <d v="2024-06-02T00:00:00"/>
    <x v="4"/>
    <s v="Explore the latest image on Myntra! Trendy styles await."/>
    <n v="1871"/>
    <n v="252"/>
    <n v="335"/>
    <n v="29936"/>
    <n v="29576"/>
    <n v="288"/>
    <s v="#MyntraTrend"/>
    <x v="1"/>
    <n v="8.2108498129342594E-2"/>
    <d v="2024-06-02T00:00:00"/>
    <s v="Before Campaign"/>
  </r>
  <r>
    <x v="202"/>
    <x v="2"/>
    <d v="2024-11-21T00:00:00"/>
    <x v="3"/>
    <s v="Explore the latest carousel on Myntra! Trendy styles await."/>
    <n v="3773"/>
    <n v="299"/>
    <n v="38"/>
    <n v="71687"/>
    <n v="71447"/>
    <n v="286"/>
    <s v="#MyntraTrend"/>
    <x v="3"/>
    <n v="5.7332570758993957E-2"/>
    <d v="2024-11-17T00:00:00"/>
    <s v="Outside Campaign"/>
  </r>
  <r>
    <x v="203"/>
    <x v="2"/>
    <d v="2025-01-01T00:00:00"/>
    <x v="3"/>
    <s v="Explore the latest carousel on Myntra! Trendy styles await."/>
    <n v="2234"/>
    <n v="653"/>
    <n v="432"/>
    <n v="11170"/>
    <n v="10569"/>
    <n v="198"/>
    <s v="#FashionDeals,#StyleWithMyntra"/>
    <x v="3"/>
    <n v="0.29713518352730528"/>
    <d v="2024-12-29T00:00:00"/>
    <s v="Before Campaign"/>
  </r>
  <r>
    <x v="204"/>
    <x v="0"/>
    <d v="2025-04-24T00:00:00"/>
    <x v="5"/>
    <s v="Explore the latest video on Myntra! Trendy styles await."/>
    <n v="3820"/>
    <n v="697"/>
    <n v="268"/>
    <n v="45840"/>
    <n v="45631"/>
    <n v="171"/>
    <s v="#StyleWithMyntra,#FashionDeals"/>
    <x v="0"/>
    <n v="0.1043848167539267"/>
    <d v="2025-04-20T00:00:00"/>
    <s v="Outside Campaign"/>
  </r>
  <r>
    <x v="205"/>
    <x v="0"/>
    <d v="2024-06-24T00:00:00"/>
    <x v="1"/>
    <s v="Explore the latest text on Myntra! Trendy styles await."/>
    <n v="941"/>
    <n v="121"/>
    <n v="458"/>
    <n v="14115"/>
    <n v="13838"/>
    <n v="87"/>
    <s v="#MyntraFashion,#MyntraSale"/>
    <x v="1"/>
    <n v="0.10768685795253277"/>
    <d v="2024-06-23T00:00:00"/>
    <s v="During Campaign"/>
  </r>
  <r>
    <x v="206"/>
    <x v="0"/>
    <d v="2024-12-29T00:00:00"/>
    <x v="3"/>
    <s v="Explore the latest carousel on Myntra! Trendy styles await."/>
    <n v="4274"/>
    <n v="340"/>
    <n v="281"/>
    <n v="34192"/>
    <n v="33446"/>
    <n v="129"/>
    <s v="#StyleWithMyntra,#FashionDeals"/>
    <x v="2"/>
    <n v="0.14316214319138981"/>
    <d v="2024-12-29T00:00:00"/>
    <s v="Before Campaign"/>
  </r>
  <r>
    <x v="207"/>
    <x v="1"/>
    <d v="2024-06-24T00:00:00"/>
    <x v="5"/>
    <s v="Explore the latest video on Myntra! Trendy styles await."/>
    <n v="2949"/>
    <n v="476"/>
    <n v="403"/>
    <n v="44235"/>
    <n v="43705"/>
    <n v="135"/>
    <s v="#MyntraTrend,#FashionDeals"/>
    <x v="0"/>
    <n v="8.6537809426924378E-2"/>
    <d v="2024-06-23T00:00:00"/>
    <s v="During Campaign"/>
  </r>
  <r>
    <x v="208"/>
    <x v="0"/>
    <d v="2025-03-19T00:00:00"/>
    <x v="5"/>
    <s v="Explore the latest video on Myntra! Trendy styles await."/>
    <n v="3160"/>
    <n v="204"/>
    <n v="297"/>
    <n v="44240"/>
    <n v="43666"/>
    <n v="49"/>
    <s v="#StyleWithMyntra,#MyntraTrend"/>
    <x v="0"/>
    <n v="8.2753164556962022E-2"/>
    <d v="2025-03-16T00:00:00"/>
    <s v="Outside Campaign"/>
  </r>
  <r>
    <x v="209"/>
    <x v="1"/>
    <d v="2025-02-19T00:00:00"/>
    <x v="4"/>
    <s v="Explore the latest image on Myntra! Trendy styles await."/>
    <n v="257"/>
    <n v="966"/>
    <n v="398"/>
    <n v="3341"/>
    <n v="2753"/>
    <n v="287"/>
    <s v="#MyntraTrend,#MyntraSale"/>
    <x v="0"/>
    <n v="0.48518407662376534"/>
    <d v="2025-02-16T00:00:00"/>
    <s v="Outside Campaign"/>
  </r>
  <r>
    <x v="210"/>
    <x v="0"/>
    <d v="2024-07-18T00:00:00"/>
    <x v="3"/>
    <s v="Explore the latest carousel on Myntra! Trendy styles await."/>
    <n v="2120"/>
    <n v="38"/>
    <n v="212"/>
    <n v="12720"/>
    <n v="12564"/>
    <n v="21"/>
    <s v="#MyntraTrend,#MyntraSale"/>
    <x v="0"/>
    <n v="0.18632075471698112"/>
    <d v="2024-07-14T00:00:00"/>
    <s v="Before Campaign"/>
  </r>
  <r>
    <x v="211"/>
    <x v="1"/>
    <d v="2025-03-03T00:00:00"/>
    <x v="5"/>
    <s v="Explore the latest video on Myntra! Trendy styles await."/>
    <n v="3874"/>
    <n v="884"/>
    <n v="19"/>
    <n v="38740"/>
    <n v="38552"/>
    <n v="219"/>
    <s v="#StyleWithMyntra"/>
    <x v="3"/>
    <n v="0.123309241094476"/>
    <d v="2025-03-02T00:00:00"/>
    <s v="Outside Campaign"/>
  </r>
  <r>
    <x v="212"/>
    <x v="3"/>
    <d v="2025-05-01T00:00:00"/>
    <x v="3"/>
    <s v="Explore the latest carousel on Myntra! Trendy styles await."/>
    <n v="2696"/>
    <n v="628"/>
    <n v="443"/>
    <n v="45832"/>
    <n v="45632"/>
    <n v="248"/>
    <s v="#MyntraSale"/>
    <x v="2"/>
    <n v="8.21914819340199E-2"/>
    <d v="2025-04-27T00:00:00"/>
    <s v="Outside Campaign"/>
  </r>
  <r>
    <x v="213"/>
    <x v="2"/>
    <d v="2024-12-23T00:00:00"/>
    <x v="4"/>
    <s v="Explore the latest image on Myntra! Trendy styles await."/>
    <n v="521"/>
    <n v="746"/>
    <n v="315"/>
    <n v="4168"/>
    <n v="3399"/>
    <n v="282"/>
    <s v="#MyntraSale"/>
    <x v="0"/>
    <n v="0.37955854126679461"/>
    <d v="2024-12-22T00:00:00"/>
    <s v="Before Campaign"/>
  </r>
  <r>
    <x v="214"/>
    <x v="3"/>
    <d v="2025-05-06T00:00:00"/>
    <x v="4"/>
    <s v="Explore the latest image on Myntra! Trendy styles await."/>
    <n v="4872"/>
    <n v="925"/>
    <n v="176"/>
    <n v="82824"/>
    <n v="82543"/>
    <n v="89"/>
    <s v="#MyntraSale,#MyntraTrend"/>
    <x v="0"/>
    <n v="7.2116777745580993E-2"/>
    <d v="2025-05-04T00:00:00"/>
    <s v="Outside Campaign"/>
  </r>
  <r>
    <x v="215"/>
    <x v="1"/>
    <d v="2024-07-29T00:00:00"/>
    <x v="2"/>
    <s v="Explore the latest story on Myntra! Trendy styles await."/>
    <n v="1509"/>
    <n v="88"/>
    <n v="163"/>
    <n v="30180"/>
    <n v="29689"/>
    <n v="119"/>
    <s v="#MyntraTrend"/>
    <x v="0"/>
    <n v="5.8316766070245198E-2"/>
    <d v="2024-07-28T00:00:00"/>
    <s v="Before Campaign"/>
  </r>
  <r>
    <x v="216"/>
    <x v="3"/>
    <d v="2024-12-03T00:00:00"/>
    <x v="4"/>
    <s v="Explore the latest image on Myntra! Trendy styles await."/>
    <n v="4606"/>
    <n v="931"/>
    <n v="230"/>
    <n v="92120"/>
    <n v="91440"/>
    <n v="56"/>
    <s v="#FashionDeals,#MyntraFashion"/>
    <x v="2"/>
    <n v="6.2603126356925748E-2"/>
    <d v="2024-12-01T00:00:00"/>
    <s v="Outside Campaign"/>
  </r>
  <r>
    <x v="217"/>
    <x v="3"/>
    <d v="2024-06-11T00:00:00"/>
    <x v="3"/>
    <s v="Explore the latest carousel on Myntra! Trendy styles await."/>
    <n v="1869"/>
    <n v="453"/>
    <n v="490"/>
    <n v="14952"/>
    <n v="14309"/>
    <n v="275"/>
    <s v="#FashionDeals,#StyleWithMyntra"/>
    <x v="0"/>
    <n v="0.18806848582129482"/>
    <d v="2024-06-09T00:00:00"/>
    <s v="During Campaign"/>
  </r>
  <r>
    <x v="218"/>
    <x v="0"/>
    <d v="2025-01-28T00:00:00"/>
    <x v="0"/>
    <s v="Explore the latest reel on Myntra! Trendy styles await."/>
    <n v="1188"/>
    <n v="470"/>
    <n v="174"/>
    <n v="7128"/>
    <n v="6145"/>
    <n v="270"/>
    <s v="#StyleWithMyntra,#MyntraFashion"/>
    <x v="1"/>
    <n v="0.25701459034792368"/>
    <d v="2025-01-26T00:00:00"/>
    <s v="During Campaign"/>
  </r>
  <r>
    <x v="219"/>
    <x v="2"/>
    <d v="2024-06-02T00:00:00"/>
    <x v="2"/>
    <s v="Explore the latest story on Myntra! Trendy styles await."/>
    <n v="84"/>
    <n v="897"/>
    <n v="85"/>
    <n v="588"/>
    <n v="8"/>
    <n v="12"/>
    <s v="#StyleWithMyntra"/>
    <x v="1"/>
    <n v="1.8129251700680271"/>
    <d v="2024-06-02T00:00:00"/>
    <s v="Before Campaign"/>
  </r>
  <r>
    <x v="220"/>
    <x v="3"/>
    <d v="2025-03-23T00:00:00"/>
    <x v="5"/>
    <s v="Explore the latest video on Myntra! Trendy styles await."/>
    <n v="4453"/>
    <n v="111"/>
    <n v="420"/>
    <n v="31171"/>
    <n v="30565"/>
    <n v="23"/>
    <s v="#MyntraTrend,#MyntraFashion"/>
    <x v="3"/>
    <n v="0.15989220750056141"/>
    <d v="2025-03-23T00:00:00"/>
    <s v="Outside Campaign"/>
  </r>
  <r>
    <x v="221"/>
    <x v="3"/>
    <d v="2024-10-08T00:00:00"/>
    <x v="0"/>
    <s v="Explore the latest reel on Myntra! Trendy styles await."/>
    <n v="1814"/>
    <n v="653"/>
    <n v="363"/>
    <n v="25396"/>
    <n v="25286"/>
    <n v="39"/>
    <s v="#StyleWithMyntra"/>
    <x v="0"/>
    <n v="0.11143487163332809"/>
    <d v="2024-10-06T00:00:00"/>
    <s v="During Campaign"/>
  </r>
  <r>
    <x v="222"/>
    <x v="0"/>
    <d v="2024-11-12T00:00:00"/>
    <x v="4"/>
    <s v="Explore the latest image on Myntra! Trendy styles await."/>
    <n v="3338"/>
    <n v="277"/>
    <n v="118"/>
    <n v="60084"/>
    <n v="59842"/>
    <n v="252"/>
    <s v="#StyleWithMyntra"/>
    <x v="0"/>
    <n v="6.2129685107516146E-2"/>
    <d v="2024-11-10T00:00:00"/>
    <s v="Outside Campaign"/>
  </r>
  <r>
    <x v="223"/>
    <x v="3"/>
    <d v="2025-05-13T00:00:00"/>
    <x v="4"/>
    <s v="Explore the latest image on Myntra! Trendy styles await."/>
    <n v="602"/>
    <n v="594"/>
    <n v="156"/>
    <n v="4214"/>
    <n v="3363"/>
    <n v="164"/>
    <s v="#MyntraSale"/>
    <x v="2"/>
    <n v="0.32083531086853345"/>
    <d v="2025-05-11T00:00:00"/>
    <s v="Outside Campaign"/>
  </r>
  <r>
    <x v="224"/>
    <x v="0"/>
    <d v="2024-06-20T00:00:00"/>
    <x v="3"/>
    <s v="Explore the latest carousel on Myntra! Trendy styles await."/>
    <n v="4672"/>
    <n v="325"/>
    <n v="32"/>
    <n v="88768"/>
    <n v="87833"/>
    <n v="118"/>
    <s v="#FashionDeals,#MyntraSale"/>
    <x v="2"/>
    <n v="5.6653298485940883E-2"/>
    <d v="2024-06-16T00:00:00"/>
    <s v="During Campaign"/>
  </r>
  <r>
    <x v="225"/>
    <x v="2"/>
    <d v="2024-08-07T00:00:00"/>
    <x v="3"/>
    <s v="Explore the latest carousel on Myntra! Trendy styles await."/>
    <n v="1741"/>
    <n v="164"/>
    <n v="318"/>
    <n v="8705"/>
    <n v="8272"/>
    <n v="121"/>
    <s v="#MyntraSale"/>
    <x v="1"/>
    <n v="0.25537047673750718"/>
    <d v="2024-08-04T00:00:00"/>
    <s v="During Campaign"/>
  </r>
  <r>
    <x v="226"/>
    <x v="2"/>
    <d v="2024-06-12T00:00:00"/>
    <x v="1"/>
    <s v="Explore the latest text on Myntra! Trendy styles await."/>
    <n v="246"/>
    <n v="149"/>
    <n v="130"/>
    <n v="4674"/>
    <n v="4390"/>
    <n v="217"/>
    <s v="#MyntraTrend,#FashionDeals"/>
    <x v="1"/>
    <n v="0.11232349165596919"/>
    <d v="2024-06-09T00:00:00"/>
    <s v="During Campaign"/>
  </r>
  <r>
    <x v="227"/>
    <x v="2"/>
    <d v="2024-07-01T00:00:00"/>
    <x v="2"/>
    <s v="Explore the latest story on Myntra! Trendy styles await."/>
    <n v="4808"/>
    <n v="772"/>
    <n v="320"/>
    <n v="72120"/>
    <n v="71696"/>
    <n v="195"/>
    <s v="#MyntraTrend,#MyntraSale"/>
    <x v="3"/>
    <n v="8.1808097615085965E-2"/>
    <d v="2024-06-30T00:00:00"/>
    <s v="During Campaign"/>
  </r>
  <r>
    <x v="228"/>
    <x v="2"/>
    <d v="2024-07-03T00:00:00"/>
    <x v="3"/>
    <s v="Explore the latest carousel on Myntra! Trendy styles await."/>
    <n v="4799"/>
    <n v="694"/>
    <n v="289"/>
    <n v="43191"/>
    <n v="42228"/>
    <n v="118"/>
    <s v="#MyntraTrend"/>
    <x v="1"/>
    <n v="0.13387048227640017"/>
    <d v="2024-06-30T00:00:00"/>
    <s v="During Campaign"/>
  </r>
  <r>
    <x v="229"/>
    <x v="3"/>
    <d v="2024-07-15T00:00:00"/>
    <x v="0"/>
    <s v="Explore the latest reel on Myntra! Trendy styles await."/>
    <n v="3663"/>
    <n v="17"/>
    <n v="295"/>
    <n v="51282"/>
    <n v="50567"/>
    <n v="84"/>
    <s v="#MyntraSale"/>
    <x v="0"/>
    <n v="7.7512577512577507E-2"/>
    <d v="2024-07-14T00:00:00"/>
    <s v="Before Campaign"/>
  </r>
  <r>
    <x v="230"/>
    <x v="2"/>
    <d v="2025-05-01T00:00:00"/>
    <x v="1"/>
    <s v="Explore the latest text on Myntra! Trendy styles await."/>
    <n v="1430"/>
    <n v="376"/>
    <n v="33"/>
    <n v="21450"/>
    <n v="20509"/>
    <n v="251"/>
    <s v="#FashionDeals"/>
    <x v="2"/>
    <n v="8.5734265734265735E-2"/>
    <d v="2025-04-27T00:00:00"/>
    <s v="Outside Campaign"/>
  </r>
  <r>
    <x v="231"/>
    <x v="0"/>
    <d v="2025-04-29T00:00:00"/>
    <x v="2"/>
    <s v="Explore the latest story on Myntra! Trendy styles await."/>
    <n v="249"/>
    <n v="592"/>
    <n v="230"/>
    <n v="1494"/>
    <n v="1044"/>
    <n v="201"/>
    <s v="#MyntraFashion,#MyntraTrend"/>
    <x v="3"/>
    <n v="0.7168674698795181"/>
    <d v="2025-04-27T00:00:00"/>
    <s v="Outside Campaign"/>
  </r>
  <r>
    <x v="232"/>
    <x v="3"/>
    <d v="2025-03-08T00:00:00"/>
    <x v="4"/>
    <s v="Explore the latest image on Myntra! Trendy styles await."/>
    <n v="2382"/>
    <n v="265"/>
    <n v="134"/>
    <n v="38112"/>
    <n v="37437"/>
    <n v="249"/>
    <s v="#FashionDeals,#MyntraTrend"/>
    <x v="1"/>
    <n v="7.2969143576826198E-2"/>
    <d v="2025-03-02T00:00:00"/>
    <s v="Outside Campaign"/>
  </r>
  <r>
    <x v="233"/>
    <x v="3"/>
    <d v="2024-06-01T00:00:00"/>
    <x v="1"/>
    <s v="Explore the latest text on Myntra! Trendy styles await."/>
    <n v="1272"/>
    <n v="465"/>
    <n v="99"/>
    <n v="24168"/>
    <n v="23719"/>
    <n v="42"/>
    <s v="#MyntraFashion,#FashionDeals"/>
    <x v="1"/>
    <n v="7.5968222442899705E-2"/>
    <d v="2024-05-26T00:00:00"/>
    <s v="Before Campaign"/>
  </r>
  <r>
    <x v="234"/>
    <x v="3"/>
    <d v="2024-12-22T00:00:00"/>
    <x v="4"/>
    <s v="Explore the latest image on Myntra! Trendy styles await."/>
    <n v="3196"/>
    <n v="941"/>
    <n v="376"/>
    <n v="35156"/>
    <n v="34444"/>
    <n v="241"/>
    <s v="#StyleWithMyntra,#MyntraTrend"/>
    <x v="3"/>
    <n v="0.1283706906360223"/>
    <d v="2024-12-22T00:00:00"/>
    <s v="Before Campaign"/>
  </r>
  <r>
    <x v="235"/>
    <x v="3"/>
    <d v="2024-08-19T00:00:00"/>
    <x v="1"/>
    <s v="Explore the latest text on Myntra! Trendy styles await."/>
    <n v="1257"/>
    <n v="19"/>
    <n v="351"/>
    <n v="12570"/>
    <n v="11660"/>
    <n v="194"/>
    <s v="#StyleWithMyntra"/>
    <x v="0"/>
    <n v="0.12943516308671441"/>
    <d v="2024-08-18T00:00:00"/>
    <s v="During Campaign"/>
  </r>
  <r>
    <x v="236"/>
    <x v="2"/>
    <d v="2024-10-22T00:00:00"/>
    <x v="2"/>
    <s v="Explore the latest story on Myntra! Trendy styles await."/>
    <n v="3770"/>
    <n v="917"/>
    <n v="129"/>
    <n v="71630"/>
    <n v="71322"/>
    <n v="76"/>
    <s v="#MyntraSale,#MyntraTrend"/>
    <x v="3"/>
    <n v="6.7234398994834563E-2"/>
    <d v="2024-10-20T00:00:00"/>
    <s v="During Campaign"/>
  </r>
  <r>
    <x v="237"/>
    <x v="0"/>
    <d v="2024-07-16T00:00:00"/>
    <x v="1"/>
    <s v="Explore the latest text on Myntra! Trendy styles await."/>
    <n v="4725"/>
    <n v="400"/>
    <n v="362"/>
    <n v="75600"/>
    <n v="74927"/>
    <n v="43"/>
    <s v="#MyntraTrend,#MyntraFashion"/>
    <x v="0"/>
    <n v="7.2579365079365077E-2"/>
    <d v="2024-07-14T00:00:00"/>
    <s v="Before Campaign"/>
  </r>
  <r>
    <x v="238"/>
    <x v="1"/>
    <d v="2025-02-24T00:00:00"/>
    <x v="1"/>
    <s v="Explore the latest text on Myntra! Trendy styles await."/>
    <n v="4188"/>
    <n v="942"/>
    <n v="118"/>
    <n v="20940"/>
    <n v="20471"/>
    <n v="102"/>
    <s v="#StyleWithMyntra"/>
    <x v="1"/>
    <n v="0.25062082139446035"/>
    <d v="2025-02-23T00:00:00"/>
    <s v="Outside Campaign"/>
  </r>
  <r>
    <x v="239"/>
    <x v="0"/>
    <d v="2024-08-26T00:00:00"/>
    <x v="3"/>
    <s v="Explore the latest carousel on Myntra! Trendy styles await."/>
    <n v="929"/>
    <n v="192"/>
    <n v="322"/>
    <n v="16722"/>
    <n v="15996"/>
    <n v="145"/>
    <s v="#MyntraFashion"/>
    <x v="2"/>
    <n v="8.6293505561535699E-2"/>
    <d v="2024-08-25T00:00:00"/>
    <s v="During Campaign"/>
  </r>
  <r>
    <x v="240"/>
    <x v="3"/>
    <d v="2025-01-18T00:00:00"/>
    <x v="2"/>
    <s v="Explore the latest story on Myntra! Trendy styles await."/>
    <n v="4321"/>
    <n v="874"/>
    <n v="172"/>
    <n v="30247"/>
    <n v="29254"/>
    <n v="122"/>
    <s v="#MyntraSale,#MyntraFashion"/>
    <x v="2"/>
    <n v="0.17743908486792079"/>
    <d v="2025-01-12T00:00:00"/>
    <s v="During Campaign"/>
  </r>
  <r>
    <x v="241"/>
    <x v="3"/>
    <d v="2024-07-07T00:00:00"/>
    <x v="0"/>
    <s v="Explore the latest reel on Myntra! Trendy styles await."/>
    <n v="4767"/>
    <n v="190"/>
    <n v="340"/>
    <n v="28602"/>
    <n v="28044"/>
    <n v="210"/>
    <s v="#FashionDeals"/>
    <x v="3"/>
    <n v="0.18519683938186141"/>
    <d v="2024-07-07T00:00:00"/>
    <s v="Before Campaign"/>
  </r>
  <r>
    <x v="242"/>
    <x v="0"/>
    <d v="2025-03-06T00:00:00"/>
    <x v="4"/>
    <s v="Explore the latest image on Myntra! Trendy styles await."/>
    <n v="3592"/>
    <n v="911"/>
    <n v="375"/>
    <n v="50288"/>
    <n v="49490"/>
    <n v="32"/>
    <s v="#StyleWithMyntra"/>
    <x v="1"/>
    <n v="9.7001272669424113E-2"/>
    <d v="2025-03-02T00:00:00"/>
    <s v="Outside Campaign"/>
  </r>
  <r>
    <x v="243"/>
    <x v="1"/>
    <d v="2024-10-25T00:00:00"/>
    <x v="5"/>
    <s v="Explore the latest video on Myntra! Trendy styles await."/>
    <n v="4661"/>
    <n v="935"/>
    <n v="433"/>
    <n v="23305"/>
    <n v="22583"/>
    <n v="63"/>
    <s v="#StyleWithMyntra,#FashionDeals"/>
    <x v="0"/>
    <n v="0.25869984981763572"/>
    <d v="2024-10-20T00:00:00"/>
    <s v="During Campaign"/>
  </r>
  <r>
    <x v="244"/>
    <x v="3"/>
    <d v="2025-01-12T00:00:00"/>
    <x v="0"/>
    <s v="Explore the latest reel on Myntra! Trendy styles await."/>
    <n v="4134"/>
    <n v="824"/>
    <n v="99"/>
    <n v="41340"/>
    <n v="41050"/>
    <n v="177"/>
    <s v="#MyntraFashion"/>
    <x v="1"/>
    <n v="0.12232704402515723"/>
    <d v="2025-01-12T00:00:00"/>
    <s v="During Campaign"/>
  </r>
  <r>
    <x v="245"/>
    <x v="3"/>
    <d v="2024-10-11T00:00:00"/>
    <x v="4"/>
    <s v="Explore the latest image on Myntra! Trendy styles await."/>
    <n v="400"/>
    <n v="680"/>
    <n v="434"/>
    <n v="6400"/>
    <n v="5472"/>
    <n v="160"/>
    <s v="#MyntraSale,#MyntraTrend"/>
    <x v="1"/>
    <n v="0.23656250000000001"/>
    <d v="2024-10-06T00:00:00"/>
    <s v="During Campaign"/>
  </r>
  <r>
    <x v="246"/>
    <x v="3"/>
    <d v="2024-08-27T00:00:00"/>
    <x v="0"/>
    <s v="Explore the latest reel on Myntra! Trendy styles await."/>
    <n v="3960"/>
    <n v="266"/>
    <n v="8"/>
    <n v="35640"/>
    <n v="34850"/>
    <n v="208"/>
    <s v="#MyntraTrend,#MyntraFashion"/>
    <x v="3"/>
    <n v="0.11879910213243547"/>
    <d v="2024-08-25T00:00:00"/>
    <s v="During Campaign"/>
  </r>
  <r>
    <x v="247"/>
    <x v="3"/>
    <d v="2025-02-02T00:00:00"/>
    <x v="2"/>
    <s v="Explore the latest story on Myntra! Trendy styles await."/>
    <n v="886"/>
    <n v="126"/>
    <n v="153"/>
    <n v="4430"/>
    <n v="4037"/>
    <n v="212"/>
    <s v="#MyntraSale"/>
    <x v="2"/>
    <n v="0.26297968397291194"/>
    <d v="2025-02-02T00:00:00"/>
    <s v="During Campaign"/>
  </r>
  <r>
    <x v="248"/>
    <x v="0"/>
    <d v="2024-07-18T00:00:00"/>
    <x v="4"/>
    <s v="Explore the latest image on Myntra! Trendy styles await."/>
    <n v="827"/>
    <n v="77"/>
    <n v="402"/>
    <n v="14886"/>
    <n v="14129"/>
    <n v="254"/>
    <s v="#StyleWithMyntra"/>
    <x v="1"/>
    <n v="8.7733440816874911E-2"/>
    <d v="2024-07-14T00:00:00"/>
    <s v="Before Campaign"/>
  </r>
  <r>
    <x v="249"/>
    <x v="3"/>
    <d v="2024-06-22T00:00:00"/>
    <x v="0"/>
    <s v="Explore the latest reel on Myntra! Trendy styles await."/>
    <n v="3813"/>
    <n v="935"/>
    <n v="274"/>
    <n v="68634"/>
    <n v="68488"/>
    <n v="251"/>
    <s v="#FashionDeals,#MyntraTrend"/>
    <x v="0"/>
    <n v="7.3170731707317069E-2"/>
    <d v="2024-06-16T00:00:00"/>
    <s v="During Campaign"/>
  </r>
  <r>
    <x v="250"/>
    <x v="2"/>
    <d v="2025-03-27T00:00:00"/>
    <x v="3"/>
    <s v="Explore the latest carousel on Myntra! Trendy styles await."/>
    <n v="1377"/>
    <n v="796"/>
    <n v="387"/>
    <n v="22032"/>
    <n v="21869"/>
    <n v="189"/>
    <s v="#FashionDeals,#MyntraFashion"/>
    <x v="2"/>
    <n v="0.11619462599854757"/>
    <d v="2025-03-23T00:00:00"/>
    <s v="Outside Campaign"/>
  </r>
  <r>
    <x v="251"/>
    <x v="3"/>
    <d v="2025-04-28T00:00:00"/>
    <x v="3"/>
    <s v="Explore the latest carousel on Myntra! Trendy styles await."/>
    <n v="2089"/>
    <n v="476"/>
    <n v="69"/>
    <n v="16712"/>
    <n v="16309"/>
    <n v="64"/>
    <s v="#StyleWithMyntra,#MyntraSale"/>
    <x v="0"/>
    <n v="0.15761129727142173"/>
    <d v="2025-04-27T00:00:00"/>
    <s v="Outside Campaign"/>
  </r>
  <r>
    <x v="252"/>
    <x v="0"/>
    <d v="2024-08-03T00:00:00"/>
    <x v="0"/>
    <s v="Explore the latest reel on Myntra! Trendy styles await."/>
    <n v="3791"/>
    <n v="593"/>
    <n v="228"/>
    <n v="53074"/>
    <n v="52613"/>
    <n v="205"/>
    <s v="#StyleWithMyntra,#FashionDeals"/>
    <x v="0"/>
    <n v="8.6897539284772202E-2"/>
    <d v="2024-07-28T00:00:00"/>
    <s v="During Campaign"/>
  </r>
  <r>
    <x v="253"/>
    <x v="0"/>
    <d v="2025-01-14T00:00:00"/>
    <x v="4"/>
    <s v="Explore the latest image on Myntra! Trendy styles await."/>
    <n v="2692"/>
    <n v="115"/>
    <n v="64"/>
    <n v="21536"/>
    <n v="21120"/>
    <n v="224"/>
    <s v="#FashionDeals,#MyntraTrend"/>
    <x v="3"/>
    <n v="0.13331166419019316"/>
    <d v="2025-01-12T00:00:00"/>
    <s v="During Campaign"/>
  </r>
  <r>
    <x v="254"/>
    <x v="3"/>
    <d v="2025-04-03T00:00:00"/>
    <x v="2"/>
    <s v="Explore the latest story on Myntra! Trendy styles await."/>
    <n v="3767"/>
    <n v="514"/>
    <n v="238"/>
    <n v="37670"/>
    <n v="36807"/>
    <n v="226"/>
    <s v="#StyleWithMyntra,#FashionDeals"/>
    <x v="0"/>
    <n v="0.11996283514733209"/>
    <d v="2025-03-30T00:00:00"/>
    <s v="Outside Campaign"/>
  </r>
  <r>
    <x v="255"/>
    <x v="1"/>
    <d v="2024-09-18T00:00:00"/>
    <x v="3"/>
    <s v="Explore the latest carousel on Myntra! Trendy styles await."/>
    <n v="2143"/>
    <n v="12"/>
    <n v="204"/>
    <n v="40717"/>
    <n v="40125"/>
    <n v="248"/>
    <s v="#FashionDeals,#MyntraSale"/>
    <x v="3"/>
    <n v="5.7936488444630008E-2"/>
    <d v="2024-09-15T00:00:00"/>
    <s v="Before Campaign"/>
  </r>
  <r>
    <x v="256"/>
    <x v="3"/>
    <d v="2025-04-06T00:00:00"/>
    <x v="4"/>
    <s v="Explore the latest image on Myntra! Trendy styles await."/>
    <n v="3090"/>
    <n v="697"/>
    <n v="164"/>
    <n v="49440"/>
    <n v="48524"/>
    <n v="25"/>
    <s v="#FashionDeals,#StyleWithMyntra"/>
    <x v="3"/>
    <n v="7.9915048543689318E-2"/>
    <d v="2025-04-06T00:00:00"/>
    <s v="Outside Campaign"/>
  </r>
  <r>
    <x v="257"/>
    <x v="2"/>
    <d v="2024-08-05T00:00:00"/>
    <x v="2"/>
    <s v="Explore the latest story on Myntra! Trendy styles await."/>
    <n v="3601"/>
    <n v="695"/>
    <n v="75"/>
    <n v="21606"/>
    <n v="21454"/>
    <n v="172"/>
    <s v="#StyleWithMyntra"/>
    <x v="1"/>
    <n v="0.2023049153013052"/>
    <d v="2024-08-04T00:00:00"/>
    <s v="During Campaign"/>
  </r>
  <r>
    <x v="258"/>
    <x v="3"/>
    <d v="2025-02-10T00:00:00"/>
    <x v="1"/>
    <s v="Explore the latest text on Myntra! Trendy styles await."/>
    <n v="562"/>
    <n v="158"/>
    <n v="149"/>
    <n v="3372"/>
    <n v="2940"/>
    <n v="93"/>
    <s v="#FashionDeals,#MyntraSale"/>
    <x v="3"/>
    <n v="0.25771055753262156"/>
    <d v="2025-02-09T00:00:00"/>
    <s v="During Campaign"/>
  </r>
  <r>
    <x v="259"/>
    <x v="2"/>
    <d v="2025-02-12T00:00:00"/>
    <x v="2"/>
    <s v="Explore the latest story on Myntra! Trendy styles await."/>
    <n v="4332"/>
    <n v="771"/>
    <n v="219"/>
    <n v="60648"/>
    <n v="60397"/>
    <n v="10"/>
    <s v="#MyntraFashion"/>
    <x v="2"/>
    <n v="8.7752275425405618E-2"/>
    <d v="2025-02-09T00:00:00"/>
    <s v="Outside Campaign"/>
  </r>
  <r>
    <x v="260"/>
    <x v="2"/>
    <d v="2024-10-27T00:00:00"/>
    <x v="4"/>
    <s v="Explore the latest image on Myntra! Trendy styles await."/>
    <n v="4853"/>
    <n v="837"/>
    <n v="340"/>
    <n v="72795"/>
    <n v="72237"/>
    <n v="170"/>
    <s v="#MyntraSale"/>
    <x v="1"/>
    <n v="8.2835359571399134E-2"/>
    <d v="2024-10-27T00:00:00"/>
    <s v="During Campaign"/>
  </r>
  <r>
    <x v="261"/>
    <x v="1"/>
    <d v="2025-01-18T00:00:00"/>
    <x v="4"/>
    <s v="Explore the latest image on Myntra! Trendy styles await."/>
    <n v="1206"/>
    <n v="238"/>
    <n v="36"/>
    <n v="9648"/>
    <n v="9417"/>
    <n v="237"/>
    <s v="#MyntraSale,#StyleWithMyntra"/>
    <x v="2"/>
    <n v="0.15339966832504145"/>
    <d v="2025-01-12T00:00:00"/>
    <s v="During Campaign"/>
  </r>
  <r>
    <x v="262"/>
    <x v="2"/>
    <d v="2024-08-20T00:00:00"/>
    <x v="0"/>
    <s v="Explore the latest reel on Myntra! Trendy styles await."/>
    <n v="2603"/>
    <n v="690"/>
    <n v="205"/>
    <n v="13015"/>
    <n v="12130"/>
    <n v="20"/>
    <s v="#MyntraTrend"/>
    <x v="0"/>
    <n v="0.26876680752977333"/>
    <d v="2024-08-18T00:00:00"/>
    <s v="During Campaign"/>
  </r>
  <r>
    <x v="263"/>
    <x v="0"/>
    <d v="2025-01-30T00:00:00"/>
    <x v="4"/>
    <s v="Explore the latest image on Myntra! Trendy styles await."/>
    <n v="59"/>
    <n v="163"/>
    <n v="93"/>
    <n v="590"/>
    <n v="475"/>
    <n v="293"/>
    <s v="#MyntraTrend"/>
    <x v="3"/>
    <n v="0.53389830508474578"/>
    <d v="2025-01-26T00:00:00"/>
    <s v="During Campaign"/>
  </r>
  <r>
    <x v="264"/>
    <x v="0"/>
    <d v="2025-02-20T00:00:00"/>
    <x v="3"/>
    <s v="Explore the latest carousel on Myntra! Trendy styles await."/>
    <n v="1877"/>
    <n v="745"/>
    <n v="225"/>
    <n v="11262"/>
    <n v="10967"/>
    <n v="41"/>
    <s v="#StyleWithMyntra,#MyntraSale"/>
    <x v="0"/>
    <n v="0.25279701651571657"/>
    <d v="2025-02-16T00:00:00"/>
    <s v="Outside Campaign"/>
  </r>
  <r>
    <x v="265"/>
    <x v="3"/>
    <d v="2024-11-25T00:00:00"/>
    <x v="2"/>
    <s v="Explore the latest story on Myntra! Trendy styles await."/>
    <n v="4182"/>
    <n v="640"/>
    <n v="240"/>
    <n v="50184"/>
    <n v="49351"/>
    <n v="10"/>
    <s v="#MyntraSale,#StyleWithMyntra"/>
    <x v="2"/>
    <n v="0.10086880280567512"/>
    <d v="2024-11-24T00:00:00"/>
    <s v="Outside Campaign"/>
  </r>
  <r>
    <x v="266"/>
    <x v="0"/>
    <d v="2024-10-04T00:00:00"/>
    <x v="0"/>
    <s v="Explore the latest reel on Myntra! Trendy styles await."/>
    <n v="4187"/>
    <n v="66"/>
    <n v="31"/>
    <n v="66992"/>
    <n v="66614"/>
    <n v="62"/>
    <s v="#StyleWithMyntra"/>
    <x v="3"/>
    <n v="6.3947934081681396E-2"/>
    <d v="2024-09-29T00:00:00"/>
    <s v="Before Campaign"/>
  </r>
  <r>
    <x v="267"/>
    <x v="2"/>
    <d v="2025-04-13T00:00:00"/>
    <x v="0"/>
    <s v="Explore the latest reel on Myntra! Trendy styles await."/>
    <n v="4579"/>
    <n v="125"/>
    <n v="300"/>
    <n v="59527"/>
    <n v="59400"/>
    <n v="269"/>
    <s v="#StyleWithMyntra,#MyntraFashion"/>
    <x v="0"/>
    <n v="8.4062694239588759E-2"/>
    <d v="2025-04-13T00:00:00"/>
    <s v="Outside Campaign"/>
  </r>
  <r>
    <x v="268"/>
    <x v="2"/>
    <d v="2024-11-05T00:00:00"/>
    <x v="5"/>
    <s v="Explore the latest video on Myntra! Trendy styles await."/>
    <n v="4561"/>
    <n v="51"/>
    <n v="441"/>
    <n v="22805"/>
    <n v="21890"/>
    <n v="45"/>
    <s v="#StyleWithMyntra"/>
    <x v="1"/>
    <n v="0.22157421618066214"/>
    <d v="2024-11-03T00:00:00"/>
    <s v="During Campaign"/>
  </r>
  <r>
    <x v="269"/>
    <x v="1"/>
    <d v="2025-01-15T00:00:00"/>
    <x v="0"/>
    <s v="Explore the latest reel on Myntra! Trendy styles await."/>
    <n v="3774"/>
    <n v="239"/>
    <n v="39"/>
    <n v="60384"/>
    <n v="59490"/>
    <n v="241"/>
    <s v="#FashionDeals"/>
    <x v="2"/>
    <n v="6.7103868574456813E-2"/>
    <d v="2025-01-12T00:00:00"/>
    <s v="During Campaign"/>
  </r>
  <r>
    <x v="270"/>
    <x v="2"/>
    <d v="2024-10-17T00:00:00"/>
    <x v="5"/>
    <s v="Explore the latest video on Myntra! Trendy styles await."/>
    <n v="3575"/>
    <n v="749"/>
    <n v="111"/>
    <n v="21450"/>
    <n v="20785"/>
    <n v="195"/>
    <s v="#FashionDeals"/>
    <x v="2"/>
    <n v="0.20675990675990677"/>
    <d v="2024-10-13T00:00:00"/>
    <s v="During Campaign"/>
  </r>
  <r>
    <x v="271"/>
    <x v="2"/>
    <d v="2025-03-27T00:00:00"/>
    <x v="1"/>
    <s v="Explore the latest text on Myntra! Trendy styles await."/>
    <n v="4941"/>
    <n v="414"/>
    <n v="266"/>
    <n v="39528"/>
    <n v="39154"/>
    <n v="217"/>
    <s v="#MyntraSale"/>
    <x v="1"/>
    <n v="0.14220299534507186"/>
    <d v="2025-03-23T00:00:00"/>
    <s v="Outside Campaign"/>
  </r>
  <r>
    <x v="272"/>
    <x v="1"/>
    <d v="2024-10-12T00:00:00"/>
    <x v="2"/>
    <s v="Explore the latest story on Myntra! Trendy styles await."/>
    <n v="3641"/>
    <n v="226"/>
    <n v="46"/>
    <n v="40051"/>
    <n v="39319"/>
    <n v="296"/>
    <s v="#MyntraTrend"/>
    <x v="1"/>
    <n v="9.7700431949264685E-2"/>
    <d v="2024-10-06T00:00:00"/>
    <s v="During Campaign"/>
  </r>
  <r>
    <x v="273"/>
    <x v="0"/>
    <d v="2025-01-01T00:00:00"/>
    <x v="3"/>
    <s v="Explore the latest carousel on Myntra! Trendy styles await."/>
    <n v="3535"/>
    <n v="494"/>
    <n v="152"/>
    <n v="53025"/>
    <n v="52791"/>
    <n v="44"/>
    <s v="#MyntraTrend,#StyleWithMyntra"/>
    <x v="1"/>
    <n v="7.8849599245638849E-2"/>
    <d v="2024-12-29T00:00:00"/>
    <s v="Before Campaign"/>
  </r>
  <r>
    <x v="274"/>
    <x v="3"/>
    <d v="2024-08-05T00:00:00"/>
    <x v="0"/>
    <s v="Explore the latest reel on Myntra! Trendy styles await."/>
    <n v="1741"/>
    <n v="831"/>
    <n v="345"/>
    <n v="17410"/>
    <n v="16844"/>
    <n v="58"/>
    <s v="#MyntraFashion,#FashionDeals"/>
    <x v="3"/>
    <n v="0.16754738655944859"/>
    <d v="2024-08-04T00:00:00"/>
    <s v="During Campaign"/>
  </r>
  <r>
    <x v="275"/>
    <x v="0"/>
    <d v="2024-06-07T00:00:00"/>
    <x v="3"/>
    <s v="Explore the latest carousel on Myntra! Trendy styles await."/>
    <n v="1556"/>
    <n v="195"/>
    <n v="131"/>
    <n v="9336"/>
    <n v="8875"/>
    <n v="137"/>
    <s v="#MyntraFashion"/>
    <x v="1"/>
    <n v="0.2015852613538989"/>
    <d v="2024-06-02T00:00:00"/>
    <s v="Before Campaign"/>
  </r>
  <r>
    <x v="276"/>
    <x v="3"/>
    <d v="2025-04-06T00:00:00"/>
    <x v="4"/>
    <s v="Explore the latest image on Myntra! Trendy styles await."/>
    <n v="4236"/>
    <n v="711"/>
    <n v="298"/>
    <n v="21180"/>
    <n v="20516"/>
    <n v="238"/>
    <s v="#MyntraTrend,#MyntraSale"/>
    <x v="3"/>
    <n v="0.24763928234183191"/>
    <d v="2025-04-06T00:00:00"/>
    <s v="Outside Campaign"/>
  </r>
  <r>
    <x v="277"/>
    <x v="0"/>
    <d v="2024-11-26T00:00:00"/>
    <x v="1"/>
    <s v="Explore the latest text on Myntra! Trendy styles await."/>
    <n v="4516"/>
    <n v="836"/>
    <n v="169"/>
    <n v="49676"/>
    <n v="49257"/>
    <n v="282"/>
    <s v="#MyntraTrend"/>
    <x v="0"/>
    <n v="0.11114018842096787"/>
    <d v="2024-11-24T00:00:00"/>
    <s v="Outside Campaign"/>
  </r>
  <r>
    <x v="278"/>
    <x v="1"/>
    <d v="2024-09-02T00:00:00"/>
    <x v="4"/>
    <s v="Explore the latest image on Myntra! Trendy styles await."/>
    <n v="4905"/>
    <n v="845"/>
    <n v="129"/>
    <n v="98100"/>
    <n v="97772"/>
    <n v="279"/>
    <s v="#MyntraTrend"/>
    <x v="3"/>
    <n v="5.9928644240570844E-2"/>
    <d v="2024-09-01T00:00:00"/>
    <s v="Outside Campaign"/>
  </r>
  <r>
    <x v="279"/>
    <x v="1"/>
    <d v="2024-10-21T00:00:00"/>
    <x v="5"/>
    <s v="Explore the latest video on Myntra! Trendy styles await."/>
    <n v="4275"/>
    <n v="680"/>
    <n v="385"/>
    <n v="64125"/>
    <n v="63650"/>
    <n v="104"/>
    <s v="#StyleWithMyntra"/>
    <x v="3"/>
    <n v="8.3274853801169585E-2"/>
    <d v="2024-10-20T00:00:00"/>
    <s v="During Campaign"/>
  </r>
  <r>
    <x v="280"/>
    <x v="1"/>
    <d v="2025-03-22T00:00:00"/>
    <x v="4"/>
    <s v="Explore the latest image on Myntra! Trendy styles await."/>
    <n v="3166"/>
    <n v="90"/>
    <n v="341"/>
    <n v="56988"/>
    <n v="56125"/>
    <n v="135"/>
    <s v="#MyntraFashion,#StyleWithMyntra"/>
    <x v="1"/>
    <n v="6.3118551273952411E-2"/>
    <d v="2025-03-16T00:00:00"/>
    <s v="Outside Campaign"/>
  </r>
  <r>
    <x v="281"/>
    <x v="2"/>
    <d v="2024-10-03T00:00:00"/>
    <x v="5"/>
    <s v="Explore the latest video on Myntra! Trendy styles await."/>
    <n v="1488"/>
    <n v="417"/>
    <n v="168"/>
    <n v="19344"/>
    <n v="18395"/>
    <n v="30"/>
    <s v="#MyntraSale"/>
    <x v="0"/>
    <n v="0.1071650124069479"/>
    <d v="2024-09-29T00:00:00"/>
    <s v="Before Campaign"/>
  </r>
  <r>
    <x v="282"/>
    <x v="0"/>
    <d v="2025-05-09T00:00:00"/>
    <x v="0"/>
    <s v="Explore the latest reel on Myntra! Trendy styles await."/>
    <n v="3367"/>
    <n v="302"/>
    <n v="57"/>
    <n v="63973"/>
    <n v="63789"/>
    <n v="157"/>
    <s v="#MyntraTrend,#MyntraFashion"/>
    <x v="2"/>
    <n v="5.8243321401216137E-2"/>
    <d v="2025-05-04T00:00:00"/>
    <s v="Outside Campaign"/>
  </r>
  <r>
    <x v="283"/>
    <x v="0"/>
    <d v="2024-09-17T00:00:00"/>
    <x v="1"/>
    <s v="Explore the latest text on Myntra! Trendy styles await."/>
    <n v="571"/>
    <n v="190"/>
    <n v="352"/>
    <n v="9707"/>
    <n v="9418"/>
    <n v="231"/>
    <s v="#FashionDeals"/>
    <x v="1"/>
    <n v="0.11465952405480581"/>
    <d v="2024-09-15T00:00:00"/>
    <s v="Before Campaign"/>
  </r>
  <r>
    <x v="284"/>
    <x v="1"/>
    <d v="2024-07-18T00:00:00"/>
    <x v="1"/>
    <s v="Explore the latest text on Myntra! Trendy styles await."/>
    <n v="4021"/>
    <n v="794"/>
    <n v="77"/>
    <n v="36189"/>
    <n v="35505"/>
    <n v="174"/>
    <s v="#FashionDeals,#StyleWithMyntra"/>
    <x v="0"/>
    <n v="0.13517919809886983"/>
    <d v="2024-07-14T00:00:00"/>
    <s v="Before Campaign"/>
  </r>
  <r>
    <x v="285"/>
    <x v="1"/>
    <d v="2024-09-25T00:00:00"/>
    <x v="5"/>
    <s v="Explore the latest video on Myntra! Trendy styles await."/>
    <n v="3389"/>
    <n v="344"/>
    <n v="229"/>
    <n v="20334"/>
    <n v="19443"/>
    <n v="228"/>
    <s v="#MyntraFashion,#MyntraSale"/>
    <x v="1"/>
    <n v="0.19484607062063539"/>
    <d v="2024-09-22T00:00:00"/>
    <s v="Before Campaign"/>
  </r>
  <r>
    <x v="286"/>
    <x v="2"/>
    <d v="2024-08-15T00:00:00"/>
    <x v="0"/>
    <s v="Explore the latest reel on Myntra! Trendy styles await."/>
    <n v="1164"/>
    <n v="616"/>
    <n v="324"/>
    <n v="6984"/>
    <n v="6636"/>
    <n v="82"/>
    <s v="#MyntraFashion,#MyntraTrend"/>
    <x v="2"/>
    <n v="0.30126002290950743"/>
    <d v="2024-08-11T00:00:00"/>
    <s v="During Campaign"/>
  </r>
  <r>
    <x v="287"/>
    <x v="1"/>
    <d v="2025-04-17T00:00:00"/>
    <x v="3"/>
    <s v="Explore the latest carousel on Myntra! Trendy styles await."/>
    <n v="4780"/>
    <n v="691"/>
    <n v="380"/>
    <n v="86040"/>
    <n v="85743"/>
    <n v="262"/>
    <s v="#MyntraFashion,#FashionDeals"/>
    <x v="2"/>
    <n v="6.800325430032543E-2"/>
    <d v="2025-04-13T00:00:00"/>
    <s v="Outside Campaign"/>
  </r>
  <r>
    <x v="288"/>
    <x v="3"/>
    <d v="2024-11-28T00:00:00"/>
    <x v="3"/>
    <s v="Explore the latest carousel on Myntra! Trendy styles await."/>
    <n v="2751"/>
    <n v="33"/>
    <n v="430"/>
    <n v="44016"/>
    <n v="43415"/>
    <n v="129"/>
    <s v="#MyntraTrend,#StyleWithMyntra"/>
    <x v="1"/>
    <n v="7.3018902217375503E-2"/>
    <d v="2024-11-24T00:00:00"/>
    <s v="Outside Campaign"/>
  </r>
  <r>
    <x v="289"/>
    <x v="2"/>
    <d v="2024-12-20T00:00:00"/>
    <x v="3"/>
    <s v="Explore the latest carousel on Myntra! Trendy styles await."/>
    <n v="2107"/>
    <n v="550"/>
    <n v="349"/>
    <n v="35819"/>
    <n v="35340"/>
    <n v="191"/>
    <s v="#MyntraTrend"/>
    <x v="2"/>
    <n v="8.3921940869371006E-2"/>
    <d v="2024-12-15T00:00:00"/>
    <s v="Before Campaign"/>
  </r>
  <r>
    <x v="290"/>
    <x v="3"/>
    <d v="2024-11-06T00:00:00"/>
    <x v="5"/>
    <s v="Explore the latest video on Myntra! Trendy styles await."/>
    <n v="4663"/>
    <n v="145"/>
    <n v="225"/>
    <n v="69945"/>
    <n v="69596"/>
    <n v="35"/>
    <s v="#MyntraFashion"/>
    <x v="1"/>
    <n v="7.1956537279290869E-2"/>
    <d v="2024-11-03T00:00:00"/>
    <s v="Outside Campaign"/>
  </r>
  <r>
    <x v="291"/>
    <x v="3"/>
    <d v="2024-11-17T00:00:00"/>
    <x v="1"/>
    <s v="Explore the latest text on Myntra! Trendy styles await."/>
    <n v="880"/>
    <n v="297"/>
    <n v="345"/>
    <n v="12320"/>
    <n v="11978"/>
    <n v="238"/>
    <s v="#MyntraSale"/>
    <x v="1"/>
    <n v="0.12353896103896105"/>
    <d v="2024-11-17T00:00:00"/>
    <s v="Outside Campaign"/>
  </r>
  <r>
    <x v="292"/>
    <x v="3"/>
    <d v="2025-05-14T00:00:00"/>
    <x v="1"/>
    <s v="Explore the latest text on Myntra! Trendy styles await."/>
    <n v="2634"/>
    <n v="726"/>
    <n v="241"/>
    <n v="28974"/>
    <n v="28102"/>
    <n v="277"/>
    <s v="#StyleWithMyntra"/>
    <x v="2"/>
    <n v="0.12428384068475185"/>
    <d v="2025-05-11T00:00:00"/>
    <s v="Outside Campaign"/>
  </r>
  <r>
    <x v="293"/>
    <x v="3"/>
    <d v="2024-06-19T00:00:00"/>
    <x v="3"/>
    <s v="Explore the latest carousel on Myntra! Trendy styles await."/>
    <n v="4731"/>
    <n v="173"/>
    <n v="276"/>
    <n v="28386"/>
    <n v="28185"/>
    <n v="89"/>
    <s v="#MyntraTrend,#MyntraFashion"/>
    <x v="3"/>
    <n v="0.18248432325794406"/>
    <d v="2024-06-16T00:00:00"/>
    <s v="During Campaign"/>
  </r>
  <r>
    <x v="294"/>
    <x v="0"/>
    <d v="2025-05-06T00:00:00"/>
    <x v="4"/>
    <s v="Explore the latest image on Myntra! Trendy styles await."/>
    <n v="1952"/>
    <n v="344"/>
    <n v="287"/>
    <n v="15616"/>
    <n v="15403"/>
    <n v="235"/>
    <s v="#MyntraSale,#MyntraFashion"/>
    <x v="2"/>
    <n v="0.16540727459016394"/>
    <d v="2025-05-04T00:00:00"/>
    <s v="Outside Campaign"/>
  </r>
  <r>
    <x v="295"/>
    <x v="0"/>
    <d v="2025-02-11T00:00:00"/>
    <x v="5"/>
    <s v="Explore the latest video on Myntra! Trendy styles await."/>
    <n v="3440"/>
    <n v="13"/>
    <n v="20"/>
    <n v="58480"/>
    <n v="58146"/>
    <n v="210"/>
    <s v="#MyntraFashion,#FashionDeals"/>
    <x v="0"/>
    <n v="5.9387824897400819E-2"/>
    <d v="2025-02-09T00:00:00"/>
    <s v="Outside Campaign"/>
  </r>
  <r>
    <x v="296"/>
    <x v="0"/>
    <d v="2024-12-24T00:00:00"/>
    <x v="1"/>
    <s v="Explore the latest text on Myntra! Trendy styles await."/>
    <n v="2166"/>
    <n v="354"/>
    <n v="117"/>
    <n v="10830"/>
    <n v="10245"/>
    <n v="24"/>
    <s v="#StyleWithMyntra,#MyntraTrend"/>
    <x v="0"/>
    <n v="0.24349030470914126"/>
    <d v="2024-12-22T00:00:00"/>
    <s v="Before Campaign"/>
  </r>
  <r>
    <x v="297"/>
    <x v="3"/>
    <d v="2024-10-24T00:00:00"/>
    <x v="4"/>
    <s v="Explore the latest image on Myntra! Trendy styles await."/>
    <n v="4303"/>
    <n v="451"/>
    <n v="286"/>
    <n v="86060"/>
    <n v="85823"/>
    <n v="14"/>
    <s v="#MyntraSale"/>
    <x v="1"/>
    <n v="5.8563792702765516E-2"/>
    <d v="2024-10-20T00:00:00"/>
    <s v="During Campaign"/>
  </r>
  <r>
    <x v="298"/>
    <x v="3"/>
    <d v="2024-08-26T00:00:00"/>
    <x v="4"/>
    <s v="Explore the latest image on Myntra! Trendy styles await."/>
    <n v="2581"/>
    <n v="517"/>
    <n v="117"/>
    <n v="23229"/>
    <n v="22331"/>
    <n v="70"/>
    <s v="#MyntraSale,#StyleWithMyntra"/>
    <x v="1"/>
    <n v="0.13840458048129492"/>
    <d v="2024-08-25T00:00:00"/>
    <s v="During Campaign"/>
  </r>
  <r>
    <x v="299"/>
    <x v="0"/>
    <d v="2024-08-31T00:00:00"/>
    <x v="3"/>
    <s v="Explore the latest carousel on Myntra! Trendy styles await."/>
    <n v="4494"/>
    <n v="717"/>
    <n v="45"/>
    <n v="62916"/>
    <n v="62688"/>
    <n v="191"/>
    <s v="#MyntraFashion"/>
    <x v="0"/>
    <n v="8.3539958039290485E-2"/>
    <d v="2024-08-25T00:00:00"/>
    <s v="During Campaig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6">
  <r>
    <x v="0"/>
    <x v="0"/>
    <d v="2024-12-23T00:00:00"/>
    <x v="0"/>
    <s v="Explore the latest reel on Myntra! Trendy styles await."/>
    <n v="1461"/>
    <n v="184"/>
    <n v="344"/>
    <n v="21915"/>
    <n v="21675"/>
    <n v="15"/>
    <x v="0"/>
    <s v="FashionUpgrade"/>
    <n v="9.0759753593429152E-2"/>
  </r>
  <r>
    <x v="1"/>
    <x v="0"/>
    <d v="2025-04-03T00:00:00"/>
    <x v="1"/>
    <s v="Explore the latest text on Myntra! Trendy styles await."/>
    <n v="4054"/>
    <n v="389"/>
    <n v="493"/>
    <n v="64864"/>
    <n v="64383"/>
    <n v="117"/>
    <x v="1"/>
    <s v="EndOfSeasonSale"/>
    <n v="7.6097681302417369E-2"/>
  </r>
  <r>
    <x v="2"/>
    <x v="1"/>
    <d v="2025-05-12T00:00:00"/>
    <x v="0"/>
    <s v="Explore the latest reel on Myntra! Trendy styles await."/>
    <n v="2795"/>
    <n v="105"/>
    <n v="49"/>
    <n v="53105"/>
    <n v="52307"/>
    <n v="204"/>
    <x v="1"/>
    <s v="FashionUpgrade"/>
    <n v="5.5531494209584788E-2"/>
  </r>
  <r>
    <x v="2"/>
    <x v="1"/>
    <d v="2025-05-12T00:00:00"/>
    <x v="0"/>
    <s v="Explore the latest reel on Myntra! Trendy styles await."/>
    <n v="2795"/>
    <n v="105"/>
    <n v="49"/>
    <n v="53105"/>
    <n v="52307"/>
    <n v="204"/>
    <x v="0"/>
    <s v="FashionUpgrade"/>
    <n v="5.5531494209584788E-2"/>
  </r>
  <r>
    <x v="3"/>
    <x v="2"/>
    <d v="2024-08-12T00:00:00"/>
    <x v="2"/>
    <s v="Explore the latest story on Myntra! Trendy styles await."/>
    <n v="2404"/>
    <n v="363"/>
    <n v="138"/>
    <n v="19232"/>
    <n v="18636"/>
    <n v="128"/>
    <x v="0"/>
    <s v="FashionUpgrade"/>
    <n v="0.15105033277870217"/>
  </r>
  <r>
    <x v="4"/>
    <x v="1"/>
    <d v="2024-06-26T00:00:00"/>
    <x v="0"/>
    <s v="Explore the latest reel on Myntra! Trendy styles await."/>
    <n v="3557"/>
    <n v="687"/>
    <n v="424"/>
    <n v="71140"/>
    <n v="70701"/>
    <n v="224"/>
    <x v="2"/>
    <s v="MyntraFestiveEdit"/>
    <n v="6.5617093055946027E-2"/>
  </r>
  <r>
    <x v="4"/>
    <x v="1"/>
    <d v="2024-06-26T00:00:00"/>
    <x v="0"/>
    <s v="Explore the latest reel on Myntra! Trendy styles await."/>
    <n v="3557"/>
    <n v="687"/>
    <n v="424"/>
    <n v="71140"/>
    <n v="70701"/>
    <n v="224"/>
    <x v="1"/>
    <s v="MyntraFestiveEdit"/>
    <n v="6.5617093055946027E-2"/>
  </r>
  <r>
    <x v="5"/>
    <x v="3"/>
    <d v="2024-10-31T00:00:00"/>
    <x v="3"/>
    <s v="Explore the latest carousel on Myntra! Trendy styles await."/>
    <n v="2945"/>
    <n v="930"/>
    <n v="355"/>
    <n v="23560"/>
    <n v="23275"/>
    <n v="256"/>
    <x v="3"/>
    <s v="EndOfSeasonSale"/>
    <n v="0.17954159592529711"/>
  </r>
  <r>
    <x v="6"/>
    <x v="0"/>
    <d v="2024-06-24T00:00:00"/>
    <x v="3"/>
    <s v="Explore the latest carousel on Myntra! Trendy styles await."/>
    <n v="3860"/>
    <n v="201"/>
    <n v="279"/>
    <n v="61760"/>
    <n v="61660"/>
    <n v="235"/>
    <x v="3"/>
    <s v="MyntraFestiveEdit"/>
    <n v="7.0272020725388601E-2"/>
  </r>
  <r>
    <x v="7"/>
    <x v="1"/>
    <d v="2024-07-13T00:00:00"/>
    <x v="4"/>
    <s v="Explore the latest image on Myntra! Trendy styles await."/>
    <n v="3929"/>
    <n v="262"/>
    <n v="278"/>
    <n v="43219"/>
    <n v="42841"/>
    <n v="39"/>
    <x v="1"/>
    <s v="MyntraFestiveEdit"/>
    <n v="0.10340359564080613"/>
  </r>
  <r>
    <x v="7"/>
    <x v="1"/>
    <d v="2024-07-13T00:00:00"/>
    <x v="4"/>
    <s v="Explore the latest image on Myntra! Trendy styles await."/>
    <n v="3929"/>
    <n v="262"/>
    <n v="278"/>
    <n v="43219"/>
    <n v="42841"/>
    <n v="39"/>
    <x v="0"/>
    <s v="MyntraFestiveEdit"/>
    <n v="0.10340359564080613"/>
  </r>
  <r>
    <x v="8"/>
    <x v="3"/>
    <d v="2024-08-30T00:00:00"/>
    <x v="1"/>
    <s v="Explore the latest text on Myntra! Trendy styles await."/>
    <n v="3784"/>
    <n v="808"/>
    <n v="404"/>
    <n v="56760"/>
    <n v="56343"/>
    <n v="131"/>
    <x v="1"/>
    <s v="MyntraFestiveEdit"/>
    <n v="8.8019732205778717E-2"/>
  </r>
  <r>
    <x v="8"/>
    <x v="3"/>
    <d v="2024-08-30T00:00:00"/>
    <x v="1"/>
    <s v="Explore the latest text on Myntra! Trendy styles await."/>
    <n v="3784"/>
    <n v="808"/>
    <n v="404"/>
    <n v="56760"/>
    <n v="56343"/>
    <n v="131"/>
    <x v="0"/>
    <s v="MyntraFestiveEdit"/>
    <n v="8.8019732205778717E-2"/>
  </r>
  <r>
    <x v="9"/>
    <x v="3"/>
    <d v="2025-03-11T00:00:00"/>
    <x v="4"/>
    <s v="Explore the latest image on Myntra! Trendy styles await."/>
    <n v="4241"/>
    <n v="902"/>
    <n v="47"/>
    <n v="72097"/>
    <n v="71598"/>
    <n v="167"/>
    <x v="3"/>
    <s v="StyleRevolution"/>
    <n v="7.198635172059864E-2"/>
  </r>
  <r>
    <x v="10"/>
    <x v="2"/>
    <d v="2025-02-02T00:00:00"/>
    <x v="2"/>
    <s v="Explore the latest story on Myntra! Trendy styles await."/>
    <n v="1792"/>
    <n v="614"/>
    <n v="497"/>
    <n v="25088"/>
    <n v="24675"/>
    <n v="65"/>
    <x v="2"/>
    <s v="FashionUpgrade"/>
    <n v="0.11571269132653061"/>
  </r>
  <r>
    <x v="11"/>
    <x v="3"/>
    <d v="2024-07-21T00:00:00"/>
    <x v="0"/>
    <s v="Explore the latest reel on Myntra! Trendy styles await."/>
    <n v="1946"/>
    <n v="686"/>
    <n v="377"/>
    <n v="23352"/>
    <n v="22982"/>
    <n v="213"/>
    <x v="2"/>
    <s v="MyntraFestiveEdit"/>
    <n v="0.12885405960945528"/>
  </r>
  <r>
    <x v="11"/>
    <x v="3"/>
    <d v="2024-07-21T00:00:00"/>
    <x v="0"/>
    <s v="Explore the latest reel on Myntra! Trendy styles await."/>
    <n v="1946"/>
    <n v="686"/>
    <n v="377"/>
    <n v="23352"/>
    <n v="22982"/>
    <n v="213"/>
    <x v="0"/>
    <s v="MyntraFestiveEdit"/>
    <n v="0.12885405960945528"/>
  </r>
  <r>
    <x v="12"/>
    <x v="1"/>
    <d v="2024-11-18T00:00:00"/>
    <x v="3"/>
    <s v="Explore the latest carousel on Myntra! Trendy styles await."/>
    <n v="1171"/>
    <n v="286"/>
    <n v="231"/>
    <n v="22249"/>
    <n v="21282"/>
    <n v="114"/>
    <x v="1"/>
    <s v="StyleRevolution"/>
    <n v="7.5868578363072495E-2"/>
  </r>
  <r>
    <x v="13"/>
    <x v="3"/>
    <d v="2025-02-16T00:00:00"/>
    <x v="2"/>
    <s v="Explore the latest story on Myntra! Trendy styles await."/>
    <n v="4242"/>
    <n v="555"/>
    <n v="131"/>
    <n v="33936"/>
    <n v="33802"/>
    <n v="265"/>
    <x v="0"/>
    <s v="MyntraFestiveEdit"/>
    <n v="0.14521452145214522"/>
  </r>
  <r>
    <x v="13"/>
    <x v="3"/>
    <d v="2025-02-16T00:00:00"/>
    <x v="2"/>
    <s v="Explore the latest story on Myntra! Trendy styles await."/>
    <n v="4242"/>
    <n v="555"/>
    <n v="131"/>
    <n v="33936"/>
    <n v="33802"/>
    <n v="265"/>
    <x v="1"/>
    <s v="MyntraFestiveEdit"/>
    <n v="0.14521452145214522"/>
  </r>
  <r>
    <x v="14"/>
    <x v="3"/>
    <d v="2024-10-24T00:00:00"/>
    <x v="5"/>
    <s v="Explore the latest video on Myntra! Trendy styles await."/>
    <n v="3888"/>
    <n v="604"/>
    <n v="128"/>
    <n v="77760"/>
    <n v="77167"/>
    <n v="20"/>
    <x v="1"/>
    <s v="FashionUpgrade"/>
    <n v="5.941358024691358E-2"/>
  </r>
  <r>
    <x v="14"/>
    <x v="3"/>
    <d v="2024-10-24T00:00:00"/>
    <x v="5"/>
    <s v="Explore the latest video on Myntra! Trendy styles await."/>
    <n v="3888"/>
    <n v="604"/>
    <n v="128"/>
    <n v="77760"/>
    <n v="77167"/>
    <n v="20"/>
    <x v="4"/>
    <s v="FashionUpgrade"/>
    <n v="5.941358024691358E-2"/>
  </r>
  <r>
    <x v="15"/>
    <x v="3"/>
    <d v="2024-08-26T00:00:00"/>
    <x v="1"/>
    <s v="Explore the latest text on Myntra! Trendy styles await."/>
    <n v="3452"/>
    <n v="377"/>
    <n v="360"/>
    <n v="55232"/>
    <n v="55075"/>
    <n v="87"/>
    <x v="0"/>
    <s v="MyntraFestiveEdit"/>
    <n v="7.5843713789107758E-2"/>
  </r>
  <r>
    <x v="15"/>
    <x v="3"/>
    <d v="2024-08-26T00:00:00"/>
    <x v="1"/>
    <s v="Explore the latest text on Myntra! Trendy styles await."/>
    <n v="3452"/>
    <n v="377"/>
    <n v="360"/>
    <n v="55232"/>
    <n v="55075"/>
    <n v="87"/>
    <x v="4"/>
    <s v="MyntraFestiveEdit"/>
    <n v="7.5843713789107758E-2"/>
  </r>
  <r>
    <x v="16"/>
    <x v="3"/>
    <d v="2025-05-05T00:00:00"/>
    <x v="1"/>
    <s v="Explore the latest text on Myntra! Trendy styles await."/>
    <n v="4441"/>
    <n v="511"/>
    <n v="70"/>
    <n v="53292"/>
    <n v="53082"/>
    <n v="159"/>
    <x v="4"/>
    <s v="MyntraFestiveEdit"/>
    <n v="9.4235532537716729E-2"/>
  </r>
  <r>
    <x v="17"/>
    <x v="2"/>
    <d v="2024-08-19T00:00:00"/>
    <x v="0"/>
    <s v="Explore the latest reel on Myntra! Trendy styles await."/>
    <n v="3000"/>
    <n v="382"/>
    <n v="325"/>
    <n v="36000"/>
    <n v="35819"/>
    <n v="19"/>
    <x v="2"/>
    <s v="EndOfSeasonSale"/>
    <n v="0.10297222222222223"/>
  </r>
  <r>
    <x v="18"/>
    <x v="2"/>
    <d v="2024-06-23T00:00:00"/>
    <x v="5"/>
    <s v="Explore the latest video on Myntra! Trendy styles await."/>
    <n v="1071"/>
    <n v="519"/>
    <n v="22"/>
    <n v="16065"/>
    <n v="15865"/>
    <n v="103"/>
    <x v="0"/>
    <s v="MyntraFestiveEdit"/>
    <n v="0.10034235916588857"/>
  </r>
  <r>
    <x v="18"/>
    <x v="2"/>
    <d v="2024-06-23T00:00:00"/>
    <x v="5"/>
    <s v="Explore the latest video on Myntra! Trendy styles await."/>
    <n v="1071"/>
    <n v="519"/>
    <n v="22"/>
    <n v="16065"/>
    <n v="15865"/>
    <n v="103"/>
    <x v="2"/>
    <s v="MyntraFestiveEdit"/>
    <n v="0.10034235916588857"/>
  </r>
  <r>
    <x v="19"/>
    <x v="2"/>
    <d v="2024-09-09T00:00:00"/>
    <x v="3"/>
    <s v="Explore the latest carousel on Myntra! Trendy styles await."/>
    <n v="4054"/>
    <n v="488"/>
    <n v="373"/>
    <n v="77026"/>
    <n v="76881"/>
    <n v="25"/>
    <x v="1"/>
    <s v="MyntraFestiveEdit"/>
    <n v="6.3809622724794221E-2"/>
  </r>
  <r>
    <x v="19"/>
    <x v="2"/>
    <d v="2024-09-09T00:00:00"/>
    <x v="3"/>
    <s v="Explore the latest carousel on Myntra! Trendy styles await."/>
    <n v="4054"/>
    <n v="488"/>
    <n v="373"/>
    <n v="77026"/>
    <n v="76881"/>
    <n v="25"/>
    <x v="0"/>
    <s v="MyntraFestiveEdit"/>
    <n v="6.3809622724794221E-2"/>
  </r>
  <r>
    <x v="20"/>
    <x v="2"/>
    <d v="2025-01-04T00:00:00"/>
    <x v="0"/>
    <s v="Explore the latest reel on Myntra! Trendy styles await."/>
    <n v="4838"/>
    <n v="640"/>
    <n v="128"/>
    <n v="72570"/>
    <n v="72396"/>
    <n v="83"/>
    <x v="2"/>
    <s v="MyntraFestiveEdit"/>
    <n v="7.7249552156538517E-2"/>
  </r>
  <r>
    <x v="20"/>
    <x v="2"/>
    <d v="2025-01-04T00:00:00"/>
    <x v="0"/>
    <s v="Explore the latest reel on Myntra! Trendy styles await."/>
    <n v="4838"/>
    <n v="640"/>
    <n v="128"/>
    <n v="72570"/>
    <n v="72396"/>
    <n v="83"/>
    <x v="3"/>
    <s v="MyntraFestiveEdit"/>
    <n v="7.7249552156538517E-2"/>
  </r>
  <r>
    <x v="21"/>
    <x v="3"/>
    <d v="2025-02-27T00:00:00"/>
    <x v="1"/>
    <s v="Explore the latest text on Myntra! Trendy styles await."/>
    <n v="1570"/>
    <n v="187"/>
    <n v="260"/>
    <n v="25120"/>
    <n v="24613"/>
    <n v="133"/>
    <x v="0"/>
    <s v="StyleRevolution"/>
    <n v="8.0294585987261149E-2"/>
  </r>
  <r>
    <x v="22"/>
    <x v="3"/>
    <d v="2024-11-06T00:00:00"/>
    <x v="5"/>
    <s v="Explore the latest video on Myntra! Trendy styles await."/>
    <n v="1606"/>
    <n v="547"/>
    <n v="316"/>
    <n v="32120"/>
    <n v="31736"/>
    <n v="225"/>
    <x v="0"/>
    <s v="MyntraFestiveEdit"/>
    <n v="7.6867995018679955E-2"/>
  </r>
  <r>
    <x v="23"/>
    <x v="3"/>
    <d v="2025-01-23T00:00:00"/>
    <x v="5"/>
    <s v="Explore the latest video on Myntra! Trendy styles await."/>
    <n v="3961"/>
    <n v="761"/>
    <n v="131"/>
    <n v="67337"/>
    <n v="66615"/>
    <n v="161"/>
    <x v="3"/>
    <s v="EndOfSeasonSale"/>
    <n v="7.2070332803659209E-2"/>
  </r>
  <r>
    <x v="24"/>
    <x v="0"/>
    <d v="2025-04-10T00:00:00"/>
    <x v="3"/>
    <s v="Explore the latest carousel on Myntra! Trendy styles await."/>
    <n v="3128"/>
    <n v="211"/>
    <n v="197"/>
    <n v="59432"/>
    <n v="59182"/>
    <n v="238"/>
    <x v="2"/>
    <s v="FashionUpgrade"/>
    <n v="5.9496567505720827E-2"/>
  </r>
  <r>
    <x v="24"/>
    <x v="0"/>
    <d v="2025-04-10T00:00:00"/>
    <x v="3"/>
    <s v="Explore the latest carousel on Myntra! Trendy styles await."/>
    <n v="3128"/>
    <n v="211"/>
    <n v="197"/>
    <n v="59432"/>
    <n v="59182"/>
    <n v="238"/>
    <x v="0"/>
    <s v="FashionUpgrade"/>
    <n v="5.9496567505720827E-2"/>
  </r>
  <r>
    <x v="25"/>
    <x v="1"/>
    <d v="2025-04-05T00:00:00"/>
    <x v="0"/>
    <s v="Explore the latest reel on Myntra! Trendy styles await."/>
    <n v="3009"/>
    <n v="413"/>
    <n v="358"/>
    <n v="42126"/>
    <n v="41309"/>
    <n v="211"/>
    <x v="0"/>
    <s v="EndOfSeasonSale"/>
    <n v="8.9730807577268201E-2"/>
  </r>
  <r>
    <x v="26"/>
    <x v="1"/>
    <d v="2024-09-17T00:00:00"/>
    <x v="1"/>
    <s v="Explore the latest text on Myntra! Trendy styles await."/>
    <n v="2076"/>
    <n v="195"/>
    <n v="104"/>
    <n v="33216"/>
    <n v="32244"/>
    <n v="51"/>
    <x v="3"/>
    <s v="StyleRevolution"/>
    <n v="7.1501685934489398E-2"/>
  </r>
  <r>
    <x v="27"/>
    <x v="2"/>
    <d v="2025-03-04T00:00:00"/>
    <x v="5"/>
    <s v="Explore the latest video on Myntra! Trendy styles await."/>
    <n v="432"/>
    <n v="624"/>
    <n v="123"/>
    <n v="6912"/>
    <n v="6259"/>
    <n v="79"/>
    <x v="0"/>
    <s v="EndOfSeasonSale"/>
    <n v="0.17057291666666666"/>
  </r>
  <r>
    <x v="27"/>
    <x v="2"/>
    <d v="2025-03-04T00:00:00"/>
    <x v="5"/>
    <s v="Explore the latest video on Myntra! Trendy styles await."/>
    <n v="432"/>
    <n v="624"/>
    <n v="123"/>
    <n v="6912"/>
    <n v="6259"/>
    <n v="79"/>
    <x v="3"/>
    <s v="EndOfSeasonSale"/>
    <n v="0.17057291666666666"/>
  </r>
  <r>
    <x v="28"/>
    <x v="2"/>
    <d v="2025-01-31T00:00:00"/>
    <x v="3"/>
    <s v="Explore the latest carousel on Myntra! Trendy styles await."/>
    <n v="2566"/>
    <n v="118"/>
    <n v="37"/>
    <n v="12830"/>
    <n v="12264"/>
    <n v="221"/>
    <x v="3"/>
    <s v="MyntraFestiveEdit"/>
    <n v="0.21208106001558846"/>
  </r>
  <r>
    <x v="28"/>
    <x v="2"/>
    <d v="2025-01-31T00:00:00"/>
    <x v="3"/>
    <s v="Explore the latest carousel on Myntra! Trendy styles await."/>
    <n v="2566"/>
    <n v="118"/>
    <n v="37"/>
    <n v="12830"/>
    <n v="12264"/>
    <n v="221"/>
    <x v="1"/>
    <s v="MyntraFestiveEdit"/>
    <n v="0.21208106001558846"/>
  </r>
  <r>
    <x v="29"/>
    <x v="2"/>
    <d v="2025-02-25T00:00:00"/>
    <x v="5"/>
    <s v="Explore the latest video on Myntra! Trendy styles await."/>
    <n v="3095"/>
    <n v="39"/>
    <n v="78"/>
    <n v="55710"/>
    <n v="54808"/>
    <n v="93"/>
    <x v="0"/>
    <s v="StyleRevolution"/>
    <n v="5.7655717106444085E-2"/>
  </r>
  <r>
    <x v="30"/>
    <x v="2"/>
    <d v="2024-12-16T00:00:00"/>
    <x v="1"/>
    <s v="Explore the latest text on Myntra! Trendy styles await."/>
    <n v="438"/>
    <n v="153"/>
    <n v="275"/>
    <n v="3066"/>
    <n v="2701"/>
    <n v="282"/>
    <x v="3"/>
    <s v="StyleRevolution"/>
    <n v="0.28245270711024134"/>
  </r>
  <r>
    <x v="31"/>
    <x v="0"/>
    <d v="2024-07-31T00:00:00"/>
    <x v="3"/>
    <s v="Explore the latest carousel on Myntra! Trendy styles await."/>
    <n v="2278"/>
    <n v="10"/>
    <n v="321"/>
    <n v="13668"/>
    <n v="12676"/>
    <n v="275"/>
    <x v="3"/>
    <s v="StyleRevolution"/>
    <n v="0.19088381621305239"/>
  </r>
  <r>
    <x v="31"/>
    <x v="0"/>
    <d v="2024-07-31T00:00:00"/>
    <x v="3"/>
    <s v="Explore the latest carousel on Myntra! Trendy styles await."/>
    <n v="2278"/>
    <n v="10"/>
    <n v="321"/>
    <n v="13668"/>
    <n v="12676"/>
    <n v="275"/>
    <x v="1"/>
    <s v="StyleRevolution"/>
    <n v="0.19088381621305239"/>
  </r>
  <r>
    <x v="32"/>
    <x v="3"/>
    <d v="2024-08-21T00:00:00"/>
    <x v="4"/>
    <s v="Explore the latest image on Myntra! Trendy styles await."/>
    <n v="1407"/>
    <n v="400"/>
    <n v="351"/>
    <n v="16884"/>
    <n v="15954"/>
    <n v="113"/>
    <x v="1"/>
    <s v="MyntraFestiveEdit"/>
    <n v="0.12781331438047855"/>
  </r>
  <r>
    <x v="32"/>
    <x v="3"/>
    <d v="2024-08-21T00:00:00"/>
    <x v="4"/>
    <s v="Explore the latest image on Myntra! Trendy styles await."/>
    <n v="1407"/>
    <n v="400"/>
    <n v="351"/>
    <n v="16884"/>
    <n v="15954"/>
    <n v="113"/>
    <x v="4"/>
    <s v="MyntraFestiveEdit"/>
    <n v="0.12781331438047855"/>
  </r>
  <r>
    <x v="33"/>
    <x v="3"/>
    <d v="2025-03-26T00:00:00"/>
    <x v="1"/>
    <s v="Explore the latest text on Myntra! Trendy styles await."/>
    <n v="1652"/>
    <n v="89"/>
    <n v="357"/>
    <n v="29736"/>
    <n v="28771"/>
    <n v="215"/>
    <x v="3"/>
    <s v="EndOfSeasonSale"/>
    <n v="7.055421038471886E-2"/>
  </r>
  <r>
    <x v="33"/>
    <x v="3"/>
    <d v="2025-03-26T00:00:00"/>
    <x v="1"/>
    <s v="Explore the latest text on Myntra! Trendy styles await."/>
    <n v="1652"/>
    <n v="89"/>
    <n v="357"/>
    <n v="29736"/>
    <n v="28771"/>
    <n v="215"/>
    <x v="4"/>
    <s v="EndOfSeasonSale"/>
    <n v="7.055421038471886E-2"/>
  </r>
  <r>
    <x v="34"/>
    <x v="2"/>
    <d v="2024-11-30T00:00:00"/>
    <x v="5"/>
    <s v="Explore the latest video on Myntra! Trendy styles await."/>
    <n v="3775"/>
    <n v="16"/>
    <n v="239"/>
    <n v="33975"/>
    <n v="33310"/>
    <n v="271"/>
    <x v="2"/>
    <s v="MyntraFestiveEdit"/>
    <n v="0.11861662987490802"/>
  </r>
  <r>
    <x v="34"/>
    <x v="2"/>
    <d v="2024-11-30T00:00:00"/>
    <x v="5"/>
    <s v="Explore the latest video on Myntra! Trendy styles await."/>
    <n v="3775"/>
    <n v="16"/>
    <n v="239"/>
    <n v="33975"/>
    <n v="33310"/>
    <n v="271"/>
    <x v="0"/>
    <s v="MyntraFestiveEdit"/>
    <n v="0.11861662987490802"/>
  </r>
  <r>
    <x v="35"/>
    <x v="2"/>
    <d v="2025-04-19T00:00:00"/>
    <x v="2"/>
    <s v="Explore the latest story on Myntra! Trendy styles await."/>
    <n v="4518"/>
    <n v="285"/>
    <n v="383"/>
    <n v="67770"/>
    <n v="67621"/>
    <n v="31"/>
    <x v="4"/>
    <s v="EndOfSeasonSale"/>
    <n v="7.6523535487678915E-2"/>
  </r>
  <r>
    <x v="36"/>
    <x v="3"/>
    <d v="2025-01-06T00:00:00"/>
    <x v="3"/>
    <s v="Explore the latest carousel on Myntra! Trendy styles await."/>
    <n v="3024"/>
    <n v="925"/>
    <n v="350"/>
    <n v="24192"/>
    <n v="23518"/>
    <n v="36"/>
    <x v="0"/>
    <s v="MyntraFestiveEdit"/>
    <n v="0.17770337301587302"/>
  </r>
  <r>
    <x v="37"/>
    <x v="1"/>
    <d v="2025-02-17T00:00:00"/>
    <x v="0"/>
    <s v="Explore the latest reel on Myntra! Trendy styles await."/>
    <n v="3138"/>
    <n v="123"/>
    <n v="291"/>
    <n v="28242"/>
    <n v="27550"/>
    <n v="87"/>
    <x v="4"/>
    <s v="StyleRevolution"/>
    <n v="0.12577012959422137"/>
  </r>
  <r>
    <x v="38"/>
    <x v="3"/>
    <d v="2024-11-25T00:00:00"/>
    <x v="4"/>
    <s v="Explore the latest image on Myntra! Trendy styles await."/>
    <n v="3564"/>
    <n v="629"/>
    <n v="177"/>
    <n v="60588"/>
    <n v="59627"/>
    <n v="92"/>
    <x v="4"/>
    <s v="MyntraFestiveEdit"/>
    <n v="7.2126493695121141E-2"/>
  </r>
  <r>
    <x v="38"/>
    <x v="3"/>
    <d v="2024-11-25T00:00:00"/>
    <x v="4"/>
    <s v="Explore the latest image on Myntra! Trendy styles await."/>
    <n v="3564"/>
    <n v="629"/>
    <n v="177"/>
    <n v="60588"/>
    <n v="59627"/>
    <n v="92"/>
    <x v="0"/>
    <s v="MyntraFestiveEdit"/>
    <n v="7.2126493695121141E-2"/>
  </r>
  <r>
    <x v="39"/>
    <x v="0"/>
    <d v="2025-03-07T00:00:00"/>
    <x v="4"/>
    <s v="Explore the latest image on Myntra! Trendy styles await."/>
    <n v="4750"/>
    <n v="151"/>
    <n v="415"/>
    <n v="38000"/>
    <n v="37792"/>
    <n v="299"/>
    <x v="2"/>
    <s v="EndOfSeasonSale"/>
    <n v="0.13989473684210527"/>
  </r>
  <r>
    <x v="39"/>
    <x v="0"/>
    <d v="2025-03-07T00:00:00"/>
    <x v="4"/>
    <s v="Explore the latest image on Myntra! Trendy styles await."/>
    <n v="4750"/>
    <n v="151"/>
    <n v="415"/>
    <n v="38000"/>
    <n v="37792"/>
    <n v="299"/>
    <x v="0"/>
    <s v="EndOfSeasonSale"/>
    <n v="0.13989473684210527"/>
  </r>
  <r>
    <x v="40"/>
    <x v="2"/>
    <d v="2025-03-08T00:00:00"/>
    <x v="0"/>
    <s v="Explore the latest reel on Myntra! Trendy styles await."/>
    <n v="456"/>
    <n v="629"/>
    <n v="428"/>
    <n v="8208"/>
    <n v="7377"/>
    <n v="205"/>
    <x v="0"/>
    <s v="MyntraFestiveEdit"/>
    <n v="0.18433235867446393"/>
  </r>
  <r>
    <x v="40"/>
    <x v="2"/>
    <d v="2025-03-08T00:00:00"/>
    <x v="0"/>
    <s v="Explore the latest reel on Myntra! Trendy styles await."/>
    <n v="456"/>
    <n v="629"/>
    <n v="428"/>
    <n v="8208"/>
    <n v="7377"/>
    <n v="205"/>
    <x v="4"/>
    <s v="MyntraFestiveEdit"/>
    <n v="0.18433235867446393"/>
  </r>
  <r>
    <x v="41"/>
    <x v="1"/>
    <d v="2025-03-05T00:00:00"/>
    <x v="0"/>
    <s v="Explore the latest reel on Myntra! Trendy styles await."/>
    <n v="1543"/>
    <n v="820"/>
    <n v="333"/>
    <n v="12344"/>
    <n v="11496"/>
    <n v="241"/>
    <x v="2"/>
    <s v="MyntraFestiveEdit"/>
    <n v="0.21840570317563188"/>
  </r>
  <r>
    <x v="42"/>
    <x v="2"/>
    <d v="2024-12-14T00:00:00"/>
    <x v="3"/>
    <s v="Explore the latest carousel on Myntra! Trendy styles await."/>
    <n v="2174"/>
    <n v="658"/>
    <n v="15"/>
    <n v="13044"/>
    <n v="12206"/>
    <n v="137"/>
    <x v="0"/>
    <s v="StyleRevolution"/>
    <n v="0.21826126954921804"/>
  </r>
  <r>
    <x v="42"/>
    <x v="2"/>
    <d v="2024-12-14T00:00:00"/>
    <x v="3"/>
    <s v="Explore the latest carousel on Myntra! Trendy styles await."/>
    <n v="2174"/>
    <n v="658"/>
    <n v="15"/>
    <n v="13044"/>
    <n v="12206"/>
    <n v="137"/>
    <x v="1"/>
    <s v="StyleRevolution"/>
    <n v="0.21826126954921804"/>
  </r>
  <r>
    <x v="43"/>
    <x v="0"/>
    <d v="2025-03-02T00:00:00"/>
    <x v="4"/>
    <s v="Explore the latest image on Myntra! Trendy styles await."/>
    <n v="2358"/>
    <n v="784"/>
    <n v="344"/>
    <n v="35370"/>
    <n v="34475"/>
    <n v="216"/>
    <x v="0"/>
    <s v="FashionUpgrade"/>
    <n v="9.8558100084817649E-2"/>
  </r>
  <r>
    <x v="43"/>
    <x v="0"/>
    <d v="2025-03-02T00:00:00"/>
    <x v="4"/>
    <s v="Explore the latest image on Myntra! Trendy styles await."/>
    <n v="2358"/>
    <n v="784"/>
    <n v="344"/>
    <n v="35370"/>
    <n v="34475"/>
    <n v="216"/>
    <x v="2"/>
    <s v="FashionUpgrade"/>
    <n v="9.8558100084817649E-2"/>
  </r>
  <r>
    <x v="44"/>
    <x v="3"/>
    <d v="2024-11-01T00:00:00"/>
    <x v="5"/>
    <s v="Explore the latest video on Myntra! Trendy styles await."/>
    <n v="3371"/>
    <n v="106"/>
    <n v="327"/>
    <n v="50565"/>
    <n v="49816"/>
    <n v="176"/>
    <x v="4"/>
    <s v="StyleRevolution"/>
    <n v="7.5229902106199939E-2"/>
  </r>
  <r>
    <x v="45"/>
    <x v="0"/>
    <d v="2025-05-02T00:00:00"/>
    <x v="5"/>
    <s v="Explore the latest video on Myntra! Trendy styles await."/>
    <n v="1108"/>
    <n v="177"/>
    <n v="212"/>
    <n v="8864"/>
    <n v="8710"/>
    <n v="97"/>
    <x v="1"/>
    <s v="StyleRevolution"/>
    <n v="0.16888537906137185"/>
  </r>
  <r>
    <x v="46"/>
    <x v="0"/>
    <d v="2025-02-24T00:00:00"/>
    <x v="3"/>
    <s v="Explore the latest carousel on Myntra! Trendy styles await."/>
    <n v="2704"/>
    <n v="752"/>
    <n v="153"/>
    <n v="21632"/>
    <n v="20792"/>
    <n v="127"/>
    <x v="4"/>
    <s v="FashionUpgrade"/>
    <n v="0.16683616863905326"/>
  </r>
  <r>
    <x v="46"/>
    <x v="0"/>
    <d v="2025-02-24T00:00:00"/>
    <x v="3"/>
    <s v="Explore the latest carousel on Myntra! Trendy styles await."/>
    <n v="2704"/>
    <n v="752"/>
    <n v="153"/>
    <n v="21632"/>
    <n v="20792"/>
    <n v="127"/>
    <x v="1"/>
    <s v="FashionUpgrade"/>
    <n v="0.16683616863905326"/>
  </r>
  <r>
    <x v="47"/>
    <x v="0"/>
    <d v="2025-03-11T00:00:00"/>
    <x v="2"/>
    <s v="Explore the latest story on Myntra! Trendy styles await."/>
    <n v="1950"/>
    <n v="295"/>
    <n v="478"/>
    <n v="37050"/>
    <n v="36272"/>
    <n v="119"/>
    <x v="1"/>
    <s v="StyleRevolution"/>
    <n v="7.349527665317139E-2"/>
  </r>
  <r>
    <x v="47"/>
    <x v="0"/>
    <d v="2025-03-11T00:00:00"/>
    <x v="2"/>
    <s v="Explore the latest story on Myntra! Trendy styles await."/>
    <n v="1950"/>
    <n v="295"/>
    <n v="478"/>
    <n v="37050"/>
    <n v="36272"/>
    <n v="119"/>
    <x v="2"/>
    <s v="StyleRevolution"/>
    <n v="7.349527665317139E-2"/>
  </r>
  <r>
    <x v="48"/>
    <x v="0"/>
    <d v="2024-06-10T00:00:00"/>
    <x v="2"/>
    <s v="Explore the latest story on Myntra! Trendy styles await."/>
    <n v="2164"/>
    <n v="549"/>
    <n v="274"/>
    <n v="28132"/>
    <n v="27361"/>
    <n v="177"/>
    <x v="2"/>
    <s v="FashionUpgrade"/>
    <n v="0.10617801791554102"/>
  </r>
  <r>
    <x v="49"/>
    <x v="1"/>
    <d v="2024-07-03T00:00:00"/>
    <x v="2"/>
    <s v="Explore the latest story on Myntra! Trendy styles await."/>
    <n v="2754"/>
    <n v="130"/>
    <n v="90"/>
    <n v="22032"/>
    <n v="21288"/>
    <n v="112"/>
    <x v="1"/>
    <s v="FashionUpgrade"/>
    <n v="0.13498547567175018"/>
  </r>
  <r>
    <x v="50"/>
    <x v="3"/>
    <d v="2024-06-13T00:00:00"/>
    <x v="3"/>
    <s v="Explore the latest carousel on Myntra! Trendy styles await."/>
    <n v="2200"/>
    <n v="504"/>
    <n v="239"/>
    <n v="37400"/>
    <n v="36938"/>
    <n v="225"/>
    <x v="0"/>
    <s v="MyntraFestiveEdit"/>
    <n v="7.8689839572192513E-2"/>
  </r>
  <r>
    <x v="51"/>
    <x v="3"/>
    <d v="2025-01-03T00:00:00"/>
    <x v="4"/>
    <s v="Explore the latest image on Myntra! Trendy styles await."/>
    <n v="947"/>
    <n v="338"/>
    <n v="350"/>
    <n v="10417"/>
    <n v="9730"/>
    <n v="34"/>
    <x v="1"/>
    <s v="MyntraFestiveEdit"/>
    <n v="0.1569549774407219"/>
  </r>
  <r>
    <x v="51"/>
    <x v="3"/>
    <d v="2025-01-03T00:00:00"/>
    <x v="4"/>
    <s v="Explore the latest image on Myntra! Trendy styles await."/>
    <n v="947"/>
    <n v="338"/>
    <n v="350"/>
    <n v="10417"/>
    <n v="9730"/>
    <n v="34"/>
    <x v="0"/>
    <s v="MyntraFestiveEdit"/>
    <n v="0.1569549774407219"/>
  </r>
  <r>
    <x v="52"/>
    <x v="1"/>
    <d v="2025-02-24T00:00:00"/>
    <x v="3"/>
    <s v="Explore the latest carousel on Myntra! Trendy styles await."/>
    <n v="804"/>
    <n v="639"/>
    <n v="43"/>
    <n v="4020"/>
    <n v="3144"/>
    <n v="11"/>
    <x v="2"/>
    <s v="StyleRevolution"/>
    <n v="0.36965174129353234"/>
  </r>
  <r>
    <x v="52"/>
    <x v="1"/>
    <d v="2025-02-24T00:00:00"/>
    <x v="3"/>
    <s v="Explore the latest carousel on Myntra! Trendy styles await."/>
    <n v="804"/>
    <n v="639"/>
    <n v="43"/>
    <n v="4020"/>
    <n v="3144"/>
    <n v="11"/>
    <x v="3"/>
    <s v="StyleRevolution"/>
    <n v="0.36965174129353234"/>
  </r>
  <r>
    <x v="53"/>
    <x v="1"/>
    <d v="2025-03-13T00:00:00"/>
    <x v="3"/>
    <s v="Explore the latest carousel on Myntra! Trendy styles await."/>
    <n v="1686"/>
    <n v="904"/>
    <n v="472"/>
    <n v="18546"/>
    <n v="18171"/>
    <n v="52"/>
    <x v="1"/>
    <s v="EndOfSeasonSale"/>
    <n v="0.16510298716704411"/>
  </r>
  <r>
    <x v="53"/>
    <x v="1"/>
    <d v="2025-03-13T00:00:00"/>
    <x v="3"/>
    <s v="Explore the latest carousel on Myntra! Trendy styles await."/>
    <n v="1686"/>
    <n v="904"/>
    <n v="472"/>
    <n v="18546"/>
    <n v="18171"/>
    <n v="52"/>
    <x v="4"/>
    <s v="EndOfSeasonSale"/>
    <n v="0.16510298716704411"/>
  </r>
  <r>
    <x v="54"/>
    <x v="3"/>
    <d v="2024-06-17T00:00:00"/>
    <x v="4"/>
    <s v="Explore the latest image on Myntra! Trendy styles await."/>
    <n v="1226"/>
    <n v="119"/>
    <n v="7"/>
    <n v="14712"/>
    <n v="14049"/>
    <n v="123"/>
    <x v="0"/>
    <s v="StyleRevolution"/>
    <n v="9.1897770527460579E-2"/>
  </r>
  <r>
    <x v="54"/>
    <x v="3"/>
    <d v="2024-06-17T00:00:00"/>
    <x v="4"/>
    <s v="Explore the latest image on Myntra! Trendy styles await."/>
    <n v="1226"/>
    <n v="119"/>
    <n v="7"/>
    <n v="14712"/>
    <n v="14049"/>
    <n v="123"/>
    <x v="3"/>
    <s v="StyleRevolution"/>
    <n v="9.1897770527460579E-2"/>
  </r>
  <r>
    <x v="55"/>
    <x v="3"/>
    <d v="2024-12-18T00:00:00"/>
    <x v="3"/>
    <s v="Explore the latest carousel on Myntra! Trendy styles await."/>
    <n v="2946"/>
    <n v="498"/>
    <n v="367"/>
    <n v="29460"/>
    <n v="28527"/>
    <n v="60"/>
    <x v="2"/>
    <s v="EndOfSeasonSale"/>
    <n v="0.12936184657162253"/>
  </r>
  <r>
    <x v="55"/>
    <x v="3"/>
    <d v="2024-12-18T00:00:00"/>
    <x v="3"/>
    <s v="Explore the latest carousel on Myntra! Trendy styles await."/>
    <n v="2946"/>
    <n v="498"/>
    <n v="367"/>
    <n v="29460"/>
    <n v="28527"/>
    <n v="60"/>
    <x v="4"/>
    <s v="EndOfSeasonSale"/>
    <n v="0.12936184657162253"/>
  </r>
  <r>
    <x v="56"/>
    <x v="0"/>
    <d v="2024-10-21T00:00:00"/>
    <x v="5"/>
    <s v="Explore the latest video on Myntra! Trendy styles await."/>
    <n v="2825"/>
    <n v="535"/>
    <n v="295"/>
    <n v="45200"/>
    <n v="44739"/>
    <n v="169"/>
    <x v="2"/>
    <s v="EndOfSeasonSale"/>
    <n v="8.0862831858407078E-2"/>
  </r>
  <r>
    <x v="57"/>
    <x v="2"/>
    <d v="2025-04-15T00:00:00"/>
    <x v="0"/>
    <s v="Explore the latest reel on Myntra! Trendy styles await."/>
    <n v="103"/>
    <n v="770"/>
    <n v="19"/>
    <n v="1030"/>
    <n v="410"/>
    <n v="262"/>
    <x v="0"/>
    <s v="MyntraFestiveEdit"/>
    <n v="0.86601941747572819"/>
  </r>
  <r>
    <x v="58"/>
    <x v="2"/>
    <d v="2024-06-22T00:00:00"/>
    <x v="1"/>
    <s v="Explore the latest text on Myntra! Trendy styles await."/>
    <n v="2180"/>
    <n v="263"/>
    <n v="387"/>
    <n v="30520"/>
    <n v="30059"/>
    <n v="174"/>
    <x v="4"/>
    <s v="FashionUpgrade"/>
    <n v="9.2726081258191345E-2"/>
  </r>
  <r>
    <x v="59"/>
    <x v="2"/>
    <d v="2025-01-28T00:00:00"/>
    <x v="5"/>
    <s v="Explore the latest video on Myntra! Trendy styles await."/>
    <n v="904"/>
    <n v="973"/>
    <n v="63"/>
    <n v="11752"/>
    <n v="11580"/>
    <n v="84"/>
    <x v="2"/>
    <s v="FashionUpgrade"/>
    <n v="0.1650782845473111"/>
  </r>
  <r>
    <x v="60"/>
    <x v="0"/>
    <d v="2024-09-05T00:00:00"/>
    <x v="5"/>
    <s v="Explore the latest video on Myntra! Trendy styles await."/>
    <n v="4886"/>
    <n v="983"/>
    <n v="409"/>
    <n v="43974"/>
    <n v="43239"/>
    <n v="65"/>
    <x v="1"/>
    <s v="FashionUpgrade"/>
    <n v="0.14276618001546368"/>
  </r>
  <r>
    <x v="61"/>
    <x v="0"/>
    <d v="2024-11-22T00:00:00"/>
    <x v="3"/>
    <s v="Explore the latest carousel on Myntra! Trendy styles await."/>
    <n v="53"/>
    <n v="81"/>
    <n v="379"/>
    <n v="954"/>
    <n v="7"/>
    <n v="148"/>
    <x v="4"/>
    <s v="MyntraFestiveEdit"/>
    <n v="0.53773584905660377"/>
  </r>
  <r>
    <x v="62"/>
    <x v="0"/>
    <d v="2024-07-31T00:00:00"/>
    <x v="3"/>
    <s v="Explore the latest carousel on Myntra! Trendy styles await."/>
    <n v="4507"/>
    <n v="217"/>
    <n v="13"/>
    <n v="90140"/>
    <n v="89591"/>
    <n v="125"/>
    <x v="0"/>
    <s v="FashionUpgrade"/>
    <n v="5.2551586421122697E-2"/>
  </r>
  <r>
    <x v="63"/>
    <x v="3"/>
    <d v="2024-08-17T00:00:00"/>
    <x v="4"/>
    <s v="Explore the latest image on Myntra! Trendy styles await."/>
    <n v="2878"/>
    <n v="248"/>
    <n v="416"/>
    <n v="43170"/>
    <n v="42667"/>
    <n v="75"/>
    <x v="4"/>
    <s v="EndOfSeasonSale"/>
    <n v="8.2047718322909427E-2"/>
  </r>
  <r>
    <x v="63"/>
    <x v="3"/>
    <d v="2024-08-17T00:00:00"/>
    <x v="4"/>
    <s v="Explore the latest image on Myntra! Trendy styles await."/>
    <n v="2878"/>
    <n v="248"/>
    <n v="416"/>
    <n v="43170"/>
    <n v="42667"/>
    <n v="75"/>
    <x v="3"/>
    <s v="EndOfSeasonSale"/>
    <n v="8.2047718322909427E-2"/>
  </r>
  <r>
    <x v="64"/>
    <x v="2"/>
    <d v="2025-03-28T00:00:00"/>
    <x v="2"/>
    <s v="Explore the latest story on Myntra! Trendy styles await."/>
    <n v="1881"/>
    <n v="501"/>
    <n v="99"/>
    <n v="20691"/>
    <n v="19987"/>
    <n v="289"/>
    <x v="4"/>
    <s v="EndOfSeasonSale"/>
    <n v="0.11990720603160794"/>
  </r>
  <r>
    <x v="65"/>
    <x v="0"/>
    <d v="2024-07-26T00:00:00"/>
    <x v="3"/>
    <s v="Explore the latest carousel on Myntra! Trendy styles await."/>
    <n v="432"/>
    <n v="171"/>
    <n v="280"/>
    <n v="3024"/>
    <n v="2285"/>
    <n v="184"/>
    <x v="1"/>
    <s v="MyntraFestiveEdit"/>
    <n v="0.29199735449735448"/>
  </r>
  <r>
    <x v="66"/>
    <x v="3"/>
    <d v="2025-03-29T00:00:00"/>
    <x v="3"/>
    <s v="Explore the latest carousel on Myntra! Trendy styles await."/>
    <n v="4712"/>
    <n v="568"/>
    <n v="127"/>
    <n v="84816"/>
    <n v="84691"/>
    <n v="100"/>
    <x v="4"/>
    <s v="FashionUpgrade"/>
    <n v="6.3749764195434822E-2"/>
  </r>
  <r>
    <x v="67"/>
    <x v="2"/>
    <d v="2024-12-08T00:00:00"/>
    <x v="2"/>
    <s v="Explore the latest story on Myntra! Trendy styles await."/>
    <n v="2610"/>
    <n v="126"/>
    <n v="288"/>
    <n v="15660"/>
    <n v="15145"/>
    <n v="73"/>
    <x v="1"/>
    <s v="FashionUpgrade"/>
    <n v="0.19310344827586207"/>
  </r>
  <r>
    <x v="68"/>
    <x v="0"/>
    <d v="2025-03-08T00:00:00"/>
    <x v="1"/>
    <s v="Explore the latest text on Myntra! Trendy styles await."/>
    <n v="1292"/>
    <n v="626"/>
    <n v="496"/>
    <n v="25840"/>
    <n v="24916"/>
    <n v="149"/>
    <x v="2"/>
    <s v="StyleRevolution"/>
    <n v="9.3421052631578946E-2"/>
  </r>
  <r>
    <x v="68"/>
    <x v="0"/>
    <d v="2025-03-08T00:00:00"/>
    <x v="1"/>
    <s v="Explore the latest text on Myntra! Trendy styles await."/>
    <n v="1292"/>
    <n v="626"/>
    <n v="496"/>
    <n v="25840"/>
    <n v="24916"/>
    <n v="149"/>
    <x v="3"/>
    <s v="StyleRevolution"/>
    <n v="9.3421052631578946E-2"/>
  </r>
  <r>
    <x v="69"/>
    <x v="3"/>
    <d v="2025-04-02T00:00:00"/>
    <x v="5"/>
    <s v="Explore the latest video on Myntra! Trendy styles await."/>
    <n v="199"/>
    <n v="772"/>
    <n v="400"/>
    <n v="3582"/>
    <n v="2988"/>
    <n v="43"/>
    <x v="3"/>
    <s v="FashionUpgrade"/>
    <n v="0.38274706867671693"/>
  </r>
  <r>
    <x v="70"/>
    <x v="1"/>
    <d v="2024-09-02T00:00:00"/>
    <x v="3"/>
    <s v="Explore the latest carousel on Myntra! Trendy styles await."/>
    <n v="2551"/>
    <n v="915"/>
    <n v="205"/>
    <n v="30612"/>
    <n v="30360"/>
    <n v="227"/>
    <x v="0"/>
    <s v="EndOfSeasonSale"/>
    <n v="0.1199202926956749"/>
  </r>
  <r>
    <x v="70"/>
    <x v="1"/>
    <d v="2024-09-02T00:00:00"/>
    <x v="3"/>
    <s v="Explore the latest carousel on Myntra! Trendy styles await."/>
    <n v="2551"/>
    <n v="915"/>
    <n v="205"/>
    <n v="30612"/>
    <n v="30360"/>
    <n v="227"/>
    <x v="4"/>
    <s v="EndOfSeasonSale"/>
    <n v="0.1199202926956749"/>
  </r>
  <r>
    <x v="71"/>
    <x v="1"/>
    <d v="2025-03-03T00:00:00"/>
    <x v="0"/>
    <s v="Explore the latest reel on Myntra! Trendy styles await."/>
    <n v="296"/>
    <n v="60"/>
    <n v="141"/>
    <n v="5624"/>
    <n v="5239"/>
    <n v="88"/>
    <x v="3"/>
    <s v="StyleRevolution"/>
    <n v="8.837126600284495E-2"/>
  </r>
  <r>
    <x v="72"/>
    <x v="3"/>
    <d v="2024-10-18T00:00:00"/>
    <x v="2"/>
    <s v="Explore the latest story on Myntra! Trendy styles await."/>
    <n v="4126"/>
    <n v="426"/>
    <n v="486"/>
    <n v="78394"/>
    <n v="77798"/>
    <n v="88"/>
    <x v="1"/>
    <s v="FashionUpgrade"/>
    <n v="6.4265122330790625E-2"/>
  </r>
  <r>
    <x v="73"/>
    <x v="1"/>
    <d v="2024-10-28T00:00:00"/>
    <x v="0"/>
    <s v="Explore the latest reel on Myntra! Trendy styles await."/>
    <n v="1855"/>
    <n v="200"/>
    <n v="174"/>
    <n v="16695"/>
    <n v="16330"/>
    <n v="123"/>
    <x v="1"/>
    <s v="MyntraFestiveEdit"/>
    <n v="0.13351302785265048"/>
  </r>
  <r>
    <x v="74"/>
    <x v="2"/>
    <d v="2024-08-01T00:00:00"/>
    <x v="0"/>
    <s v="Explore the latest reel on Myntra! Trendy styles await."/>
    <n v="1674"/>
    <n v="929"/>
    <n v="37"/>
    <n v="21762"/>
    <n v="20998"/>
    <n v="255"/>
    <x v="2"/>
    <s v="MyntraFestiveEdit"/>
    <n v="0.12131237937689551"/>
  </r>
  <r>
    <x v="74"/>
    <x v="2"/>
    <d v="2024-08-01T00:00:00"/>
    <x v="0"/>
    <s v="Explore the latest reel on Myntra! Trendy styles await."/>
    <n v="1674"/>
    <n v="929"/>
    <n v="37"/>
    <n v="21762"/>
    <n v="20998"/>
    <n v="255"/>
    <x v="4"/>
    <s v="MyntraFestiveEdit"/>
    <n v="0.12131237937689551"/>
  </r>
  <r>
    <x v="75"/>
    <x v="0"/>
    <d v="2024-11-07T00:00:00"/>
    <x v="2"/>
    <s v="Explore the latest story on Myntra! Trendy styles await."/>
    <n v="1121"/>
    <n v="135"/>
    <n v="18"/>
    <n v="15694"/>
    <n v="14957"/>
    <n v="99"/>
    <x v="0"/>
    <s v="StyleRevolution"/>
    <n v="8.1177520071364848E-2"/>
  </r>
  <r>
    <x v="75"/>
    <x v="0"/>
    <d v="2024-11-07T00:00:00"/>
    <x v="2"/>
    <s v="Explore the latest story on Myntra! Trendy styles await."/>
    <n v="1121"/>
    <n v="135"/>
    <n v="18"/>
    <n v="15694"/>
    <n v="14957"/>
    <n v="99"/>
    <x v="1"/>
    <s v="StyleRevolution"/>
    <n v="8.1177520071364848E-2"/>
  </r>
  <r>
    <x v="76"/>
    <x v="3"/>
    <d v="2025-03-04T00:00:00"/>
    <x v="2"/>
    <s v="Explore the latest story on Myntra! Trendy styles await."/>
    <n v="1249"/>
    <n v="116"/>
    <n v="420"/>
    <n v="8743"/>
    <n v="8538"/>
    <n v="63"/>
    <x v="1"/>
    <s v="MyntraFestiveEdit"/>
    <n v="0.20416333066453163"/>
  </r>
  <r>
    <x v="76"/>
    <x v="3"/>
    <d v="2025-03-04T00:00:00"/>
    <x v="2"/>
    <s v="Explore the latest story on Myntra! Trendy styles await."/>
    <n v="1249"/>
    <n v="116"/>
    <n v="420"/>
    <n v="8743"/>
    <n v="8538"/>
    <n v="63"/>
    <x v="4"/>
    <s v="MyntraFestiveEdit"/>
    <n v="0.20416333066453163"/>
  </r>
  <r>
    <x v="77"/>
    <x v="0"/>
    <d v="2024-06-17T00:00:00"/>
    <x v="4"/>
    <s v="Explore the latest image on Myntra! Trendy styles await."/>
    <n v="954"/>
    <n v="324"/>
    <n v="288"/>
    <n v="19080"/>
    <n v="18859"/>
    <n v="21"/>
    <x v="3"/>
    <s v="MyntraFestiveEdit"/>
    <n v="8.2075471698113203E-2"/>
  </r>
  <r>
    <x v="78"/>
    <x v="2"/>
    <d v="2024-10-09T00:00:00"/>
    <x v="3"/>
    <s v="Explore the latest carousel on Myntra! Trendy styles await."/>
    <n v="3068"/>
    <n v="137"/>
    <n v="329"/>
    <n v="39884"/>
    <n v="39404"/>
    <n v="266"/>
    <x v="0"/>
    <s v="MyntraFestiveEdit"/>
    <n v="8.860696018453515E-2"/>
  </r>
  <r>
    <x v="78"/>
    <x v="2"/>
    <d v="2024-10-09T00:00:00"/>
    <x v="3"/>
    <s v="Explore the latest carousel on Myntra! Trendy styles await."/>
    <n v="3068"/>
    <n v="137"/>
    <n v="329"/>
    <n v="39884"/>
    <n v="39404"/>
    <n v="266"/>
    <x v="3"/>
    <s v="MyntraFestiveEdit"/>
    <n v="8.860696018453515E-2"/>
  </r>
  <r>
    <x v="79"/>
    <x v="2"/>
    <d v="2024-06-13T00:00:00"/>
    <x v="2"/>
    <s v="Explore the latest story on Myntra! Trendy styles await."/>
    <n v="2103"/>
    <n v="892"/>
    <n v="103"/>
    <n v="39957"/>
    <n v="39466"/>
    <n v="28"/>
    <x v="4"/>
    <s v="EndOfSeasonSale"/>
    <n v="7.7533348349475686E-2"/>
  </r>
  <r>
    <x v="79"/>
    <x v="2"/>
    <d v="2024-06-13T00:00:00"/>
    <x v="2"/>
    <s v="Explore the latest story on Myntra! Trendy styles await."/>
    <n v="2103"/>
    <n v="892"/>
    <n v="103"/>
    <n v="39957"/>
    <n v="39466"/>
    <n v="28"/>
    <x v="1"/>
    <s v="EndOfSeasonSale"/>
    <n v="7.7533348349475686E-2"/>
  </r>
  <r>
    <x v="80"/>
    <x v="2"/>
    <d v="2024-10-19T00:00:00"/>
    <x v="2"/>
    <s v="Explore the latest story on Myntra! Trendy styles await."/>
    <n v="1816"/>
    <n v="29"/>
    <n v="41"/>
    <n v="19976"/>
    <n v="19262"/>
    <n v="283"/>
    <x v="3"/>
    <s v="MyntraFestiveEdit"/>
    <n v="9.4413295955146179E-2"/>
  </r>
  <r>
    <x v="80"/>
    <x v="2"/>
    <d v="2024-10-19T00:00:00"/>
    <x v="2"/>
    <s v="Explore the latest story on Myntra! Trendy styles await."/>
    <n v="1816"/>
    <n v="29"/>
    <n v="41"/>
    <n v="19976"/>
    <n v="19262"/>
    <n v="283"/>
    <x v="0"/>
    <s v="MyntraFestiveEdit"/>
    <n v="9.4413295955146179E-2"/>
  </r>
  <r>
    <x v="81"/>
    <x v="2"/>
    <d v="2024-07-24T00:00:00"/>
    <x v="4"/>
    <s v="Explore the latest image on Myntra! Trendy styles await."/>
    <n v="725"/>
    <n v="88"/>
    <n v="428"/>
    <n v="14500"/>
    <n v="13637"/>
    <n v="200"/>
    <x v="3"/>
    <s v="MyntraFestiveEdit"/>
    <n v="8.558620689655172E-2"/>
  </r>
  <r>
    <x v="82"/>
    <x v="1"/>
    <d v="2024-10-15T00:00:00"/>
    <x v="5"/>
    <s v="Explore the latest video on Myntra! Trendy styles await."/>
    <n v="1094"/>
    <n v="472"/>
    <n v="21"/>
    <n v="9846"/>
    <n v="9609"/>
    <n v="112"/>
    <x v="3"/>
    <s v="MyntraFestiveEdit"/>
    <n v="0.16118220597196831"/>
  </r>
  <r>
    <x v="82"/>
    <x v="1"/>
    <d v="2024-10-15T00:00:00"/>
    <x v="5"/>
    <s v="Explore the latest video on Myntra! Trendy styles await."/>
    <n v="1094"/>
    <n v="472"/>
    <n v="21"/>
    <n v="9846"/>
    <n v="9609"/>
    <n v="112"/>
    <x v="2"/>
    <s v="MyntraFestiveEdit"/>
    <n v="0.16118220597196831"/>
  </r>
  <r>
    <x v="83"/>
    <x v="3"/>
    <d v="2024-12-09T00:00:00"/>
    <x v="4"/>
    <s v="Explore the latest image on Myntra! Trendy styles await."/>
    <n v="1841"/>
    <n v="851"/>
    <n v="342"/>
    <n v="34979"/>
    <n v="34154"/>
    <n v="255"/>
    <x v="1"/>
    <s v="FashionUpgrade"/>
    <n v="8.6737756939878216E-2"/>
  </r>
  <r>
    <x v="83"/>
    <x v="3"/>
    <d v="2024-12-09T00:00:00"/>
    <x v="4"/>
    <s v="Explore the latest image on Myntra! Trendy styles await."/>
    <n v="1841"/>
    <n v="851"/>
    <n v="342"/>
    <n v="34979"/>
    <n v="34154"/>
    <n v="255"/>
    <x v="4"/>
    <s v="FashionUpgrade"/>
    <n v="8.6737756939878216E-2"/>
  </r>
  <r>
    <x v="84"/>
    <x v="2"/>
    <d v="2025-04-19T00:00:00"/>
    <x v="4"/>
    <s v="Explore the latest image on Myntra! Trendy styles await."/>
    <n v="4177"/>
    <n v="569"/>
    <n v="55"/>
    <n v="25062"/>
    <n v="24847"/>
    <n v="230"/>
    <x v="1"/>
    <s v="FashionUpgrade"/>
    <n v="0.19156491900087783"/>
  </r>
  <r>
    <x v="85"/>
    <x v="1"/>
    <d v="2025-01-27T00:00:00"/>
    <x v="1"/>
    <s v="Explore the latest text on Myntra! Trendy styles await."/>
    <n v="3428"/>
    <n v="305"/>
    <n v="85"/>
    <n v="58276"/>
    <n v="58052"/>
    <n v="242"/>
    <x v="3"/>
    <s v="MyntraFestiveEdit"/>
    <n v="6.5515821264328367E-2"/>
  </r>
  <r>
    <x v="85"/>
    <x v="1"/>
    <d v="2025-01-27T00:00:00"/>
    <x v="1"/>
    <s v="Explore the latest text on Myntra! Trendy styles await."/>
    <n v="3428"/>
    <n v="305"/>
    <n v="85"/>
    <n v="58276"/>
    <n v="58052"/>
    <n v="242"/>
    <x v="2"/>
    <s v="MyntraFestiveEdit"/>
    <n v="6.5515821264328367E-2"/>
  </r>
  <r>
    <x v="86"/>
    <x v="0"/>
    <d v="2024-06-06T00:00:00"/>
    <x v="5"/>
    <s v="Explore the latest video on Myntra! Trendy styles await."/>
    <n v="1436"/>
    <n v="765"/>
    <n v="496"/>
    <n v="12924"/>
    <n v="12701"/>
    <n v="197"/>
    <x v="3"/>
    <s v="EndOfSeasonSale"/>
    <n v="0.20868152274837512"/>
  </r>
  <r>
    <x v="86"/>
    <x v="0"/>
    <d v="2024-06-06T00:00:00"/>
    <x v="5"/>
    <s v="Explore the latest video on Myntra! Trendy styles await."/>
    <n v="1436"/>
    <n v="765"/>
    <n v="496"/>
    <n v="12924"/>
    <n v="12701"/>
    <n v="197"/>
    <x v="0"/>
    <s v="EndOfSeasonSale"/>
    <n v="0.20868152274837512"/>
  </r>
  <r>
    <x v="87"/>
    <x v="3"/>
    <d v="2024-07-07T00:00:00"/>
    <x v="2"/>
    <s v="Explore the latest story on Myntra! Trendy styles await."/>
    <n v="302"/>
    <n v="47"/>
    <n v="430"/>
    <n v="5738"/>
    <n v="4890"/>
    <n v="25"/>
    <x v="1"/>
    <s v="EndOfSeasonSale"/>
    <n v="0.13576158940397351"/>
  </r>
  <r>
    <x v="87"/>
    <x v="3"/>
    <d v="2024-07-07T00:00:00"/>
    <x v="2"/>
    <s v="Explore the latest story on Myntra! Trendy styles await."/>
    <n v="302"/>
    <n v="47"/>
    <n v="430"/>
    <n v="5738"/>
    <n v="4890"/>
    <n v="25"/>
    <x v="0"/>
    <s v="EndOfSeasonSale"/>
    <n v="0.13576158940397351"/>
  </r>
  <r>
    <x v="88"/>
    <x v="0"/>
    <d v="2025-01-10T00:00:00"/>
    <x v="4"/>
    <s v="Explore the latest image on Myntra! Trendy styles await."/>
    <n v="2214"/>
    <n v="249"/>
    <n v="152"/>
    <n v="15498"/>
    <n v="14800"/>
    <n v="180"/>
    <x v="0"/>
    <s v="EndOfSeasonSale"/>
    <n v="0.16873144921925409"/>
  </r>
  <r>
    <x v="89"/>
    <x v="2"/>
    <d v="2024-06-03T00:00:00"/>
    <x v="4"/>
    <s v="Explore the latest image on Myntra! Trendy styles await."/>
    <n v="3861"/>
    <n v="960"/>
    <n v="101"/>
    <n v="69498"/>
    <n v="68817"/>
    <n v="297"/>
    <x v="1"/>
    <s v="EndOfSeasonSale"/>
    <n v="7.0822181933293038E-2"/>
  </r>
  <r>
    <x v="90"/>
    <x v="3"/>
    <d v="2025-03-24T00:00:00"/>
    <x v="4"/>
    <s v="Explore the latest image on Myntra! Trendy styles await."/>
    <n v="1263"/>
    <n v="397"/>
    <n v="357"/>
    <n v="25260"/>
    <n v="24615"/>
    <n v="137"/>
    <x v="0"/>
    <s v="EndOfSeasonSale"/>
    <n v="7.984956452889945E-2"/>
  </r>
  <r>
    <x v="91"/>
    <x v="0"/>
    <d v="2024-10-21T00:00:00"/>
    <x v="2"/>
    <s v="Explore the latest story on Myntra! Trendy styles await."/>
    <n v="3801"/>
    <n v="967"/>
    <n v="401"/>
    <n v="38010"/>
    <n v="37625"/>
    <n v="236"/>
    <x v="2"/>
    <s v="StyleRevolution"/>
    <n v="0.13599052880820836"/>
  </r>
  <r>
    <x v="92"/>
    <x v="2"/>
    <d v="2024-12-11T00:00:00"/>
    <x v="5"/>
    <s v="Explore the latest video on Myntra! Trendy styles await."/>
    <n v="1431"/>
    <n v="951"/>
    <n v="26"/>
    <n v="8586"/>
    <n v="8396"/>
    <n v="150"/>
    <x v="3"/>
    <s v="FashionUpgrade"/>
    <n v="0.28045655718611695"/>
  </r>
  <r>
    <x v="92"/>
    <x v="2"/>
    <d v="2024-12-11T00:00:00"/>
    <x v="5"/>
    <s v="Explore the latest video on Myntra! Trendy styles await."/>
    <n v="1431"/>
    <n v="951"/>
    <n v="26"/>
    <n v="8586"/>
    <n v="8396"/>
    <n v="150"/>
    <x v="4"/>
    <s v="FashionUpgrade"/>
    <n v="0.28045655718611695"/>
  </r>
  <r>
    <x v="93"/>
    <x v="2"/>
    <d v="2024-11-07T00:00:00"/>
    <x v="4"/>
    <s v="Explore the latest image on Myntra! Trendy styles await."/>
    <n v="2647"/>
    <n v="304"/>
    <n v="170"/>
    <n v="18529"/>
    <n v="17841"/>
    <n v="46"/>
    <x v="2"/>
    <s v="EndOfSeasonSale"/>
    <n v="0.16843866371633656"/>
  </r>
  <r>
    <x v="94"/>
    <x v="2"/>
    <d v="2024-11-08T00:00:00"/>
    <x v="1"/>
    <s v="Explore the latest text on Myntra! Trendy styles await."/>
    <n v="3182"/>
    <n v="559"/>
    <n v="160"/>
    <n v="57276"/>
    <n v="56890"/>
    <n v="163"/>
    <x v="2"/>
    <s v="EndOfSeasonSale"/>
    <n v="6.8108806480899509E-2"/>
  </r>
  <r>
    <x v="94"/>
    <x v="2"/>
    <d v="2024-11-08T00:00:00"/>
    <x v="1"/>
    <s v="Explore the latest text on Myntra! Trendy styles await."/>
    <n v="3182"/>
    <n v="559"/>
    <n v="160"/>
    <n v="57276"/>
    <n v="56890"/>
    <n v="163"/>
    <x v="3"/>
    <s v="EndOfSeasonSale"/>
    <n v="6.8108806480899509E-2"/>
  </r>
  <r>
    <x v="95"/>
    <x v="0"/>
    <d v="2024-09-10T00:00:00"/>
    <x v="4"/>
    <s v="Explore the latest image on Myntra! Trendy styles await."/>
    <n v="1238"/>
    <n v="366"/>
    <n v="444"/>
    <n v="19808"/>
    <n v="19334"/>
    <n v="123"/>
    <x v="4"/>
    <s v="MyntraFestiveEdit"/>
    <n v="0.10339256865912763"/>
  </r>
  <r>
    <x v="96"/>
    <x v="2"/>
    <d v="2024-08-13T00:00:00"/>
    <x v="4"/>
    <s v="Explore the latest image on Myntra! Trendy styles await."/>
    <n v="4739"/>
    <n v="527"/>
    <n v="135"/>
    <n v="61607"/>
    <n v="61333"/>
    <n v="36"/>
    <x v="2"/>
    <s v="EndOfSeasonSale"/>
    <n v="8.7668609086629767E-2"/>
  </r>
  <r>
    <x v="96"/>
    <x v="2"/>
    <d v="2024-08-13T00:00:00"/>
    <x v="4"/>
    <s v="Explore the latest image on Myntra! Trendy styles await."/>
    <n v="4739"/>
    <n v="527"/>
    <n v="135"/>
    <n v="61607"/>
    <n v="61333"/>
    <n v="36"/>
    <x v="0"/>
    <s v="EndOfSeasonSale"/>
    <n v="8.7668609086629767E-2"/>
  </r>
  <r>
    <x v="97"/>
    <x v="0"/>
    <d v="2024-06-10T00:00:00"/>
    <x v="2"/>
    <s v="Explore the latest story on Myntra! Trendy styles await."/>
    <n v="1575"/>
    <n v="771"/>
    <n v="486"/>
    <n v="25200"/>
    <n v="24826"/>
    <n v="17"/>
    <x v="2"/>
    <s v="MyntraFestiveEdit"/>
    <n v="0.11238095238095239"/>
  </r>
  <r>
    <x v="98"/>
    <x v="1"/>
    <d v="2024-07-02T00:00:00"/>
    <x v="3"/>
    <s v="Explore the latest carousel on Myntra! Trendy styles await."/>
    <n v="4171"/>
    <n v="548"/>
    <n v="86"/>
    <n v="66736"/>
    <n v="66634"/>
    <n v="173"/>
    <x v="2"/>
    <s v="MyntraFestiveEdit"/>
    <n v="7.2000119875329657E-2"/>
  </r>
  <r>
    <x v="99"/>
    <x v="1"/>
    <d v="2025-02-10T00:00:00"/>
    <x v="5"/>
    <s v="Explore the latest video on Myntra! Trendy styles await."/>
    <n v="1766"/>
    <n v="92"/>
    <n v="424"/>
    <n v="24724"/>
    <n v="24333"/>
    <n v="52"/>
    <x v="2"/>
    <s v="FashionUpgrade"/>
    <n v="9.2298980747451867E-2"/>
  </r>
  <r>
    <x v="100"/>
    <x v="1"/>
    <d v="2024-10-18T00:00:00"/>
    <x v="5"/>
    <s v="Explore the latest video on Myntra! Trendy styles await."/>
    <n v="4450"/>
    <n v="983"/>
    <n v="143"/>
    <n v="75650"/>
    <n v="75008"/>
    <n v="12"/>
    <x v="0"/>
    <s v="EndOfSeasonSale"/>
    <n v="7.3707865168539333E-2"/>
  </r>
  <r>
    <x v="100"/>
    <x v="1"/>
    <d v="2024-10-18T00:00:00"/>
    <x v="5"/>
    <s v="Explore the latest video on Myntra! Trendy styles await."/>
    <n v="4450"/>
    <n v="983"/>
    <n v="143"/>
    <n v="75650"/>
    <n v="75008"/>
    <n v="12"/>
    <x v="2"/>
    <s v="EndOfSeasonSale"/>
    <n v="7.3707865168539333E-2"/>
  </r>
  <r>
    <x v="101"/>
    <x v="0"/>
    <d v="2024-09-18T00:00:00"/>
    <x v="0"/>
    <s v="Explore the latest reel on Myntra! Trendy styles await."/>
    <n v="1000"/>
    <n v="978"/>
    <n v="162"/>
    <n v="6000"/>
    <n v="5221"/>
    <n v="223"/>
    <x v="3"/>
    <s v="MyntraFestiveEdit"/>
    <n v="0.35666666666666669"/>
  </r>
  <r>
    <x v="101"/>
    <x v="0"/>
    <d v="2024-09-18T00:00:00"/>
    <x v="0"/>
    <s v="Explore the latest reel on Myntra! Trendy styles await."/>
    <n v="1000"/>
    <n v="978"/>
    <n v="162"/>
    <n v="6000"/>
    <n v="5221"/>
    <n v="223"/>
    <x v="1"/>
    <s v="MyntraFestiveEdit"/>
    <n v="0.35666666666666669"/>
  </r>
  <r>
    <x v="102"/>
    <x v="3"/>
    <d v="2024-06-11T00:00:00"/>
    <x v="4"/>
    <s v="Explore the latest image on Myntra! Trendy styles await."/>
    <n v="3689"/>
    <n v="48"/>
    <n v="306"/>
    <n v="40579"/>
    <n v="39588"/>
    <n v="212"/>
    <x v="3"/>
    <s v="FashionUpgrade"/>
    <n v="9.9632815002833983E-2"/>
  </r>
  <r>
    <x v="103"/>
    <x v="1"/>
    <d v="2025-03-23T00:00:00"/>
    <x v="2"/>
    <s v="Explore the latest story on Myntra! Trendy styles await."/>
    <n v="3655"/>
    <n v="568"/>
    <n v="286"/>
    <n v="32895"/>
    <n v="32015"/>
    <n v="199"/>
    <x v="3"/>
    <s v="StyleRevolution"/>
    <n v="0.13707250341997265"/>
  </r>
  <r>
    <x v="104"/>
    <x v="2"/>
    <d v="2024-06-14T00:00:00"/>
    <x v="3"/>
    <s v="Explore the latest carousel on Myntra! Trendy styles await."/>
    <n v="498"/>
    <n v="38"/>
    <n v="42"/>
    <n v="4482"/>
    <n v="3647"/>
    <n v="32"/>
    <x v="2"/>
    <s v="StyleRevolution"/>
    <n v="0.12896028558679162"/>
  </r>
  <r>
    <x v="104"/>
    <x v="2"/>
    <d v="2024-06-14T00:00:00"/>
    <x v="3"/>
    <s v="Explore the latest carousel on Myntra! Trendy styles await."/>
    <n v="498"/>
    <n v="38"/>
    <n v="42"/>
    <n v="4482"/>
    <n v="3647"/>
    <n v="32"/>
    <x v="4"/>
    <s v="StyleRevolution"/>
    <n v="0.12896028558679162"/>
  </r>
  <r>
    <x v="105"/>
    <x v="2"/>
    <d v="2025-02-04T00:00:00"/>
    <x v="4"/>
    <s v="Explore the latest image on Myntra! Trendy styles await."/>
    <n v="4619"/>
    <n v="821"/>
    <n v="499"/>
    <n v="69285"/>
    <n v="69141"/>
    <n v="298"/>
    <x v="1"/>
    <s v="FashionUpgrade"/>
    <n v="8.5718409468138843E-2"/>
  </r>
  <r>
    <x v="106"/>
    <x v="1"/>
    <d v="2024-06-21T00:00:00"/>
    <x v="4"/>
    <s v="Explore the latest image on Myntra! Trendy styles await."/>
    <n v="4832"/>
    <n v="893"/>
    <n v="10"/>
    <n v="91808"/>
    <n v="91296"/>
    <n v="182"/>
    <x v="0"/>
    <s v="MyntraFestiveEdit"/>
    <n v="6.2467323109097243E-2"/>
  </r>
  <r>
    <x v="106"/>
    <x v="1"/>
    <d v="2024-06-21T00:00:00"/>
    <x v="4"/>
    <s v="Explore the latest image on Myntra! Trendy styles await."/>
    <n v="4832"/>
    <n v="893"/>
    <n v="10"/>
    <n v="91808"/>
    <n v="91296"/>
    <n v="182"/>
    <x v="2"/>
    <s v="MyntraFestiveEdit"/>
    <n v="6.2467323109097243E-2"/>
  </r>
  <r>
    <x v="107"/>
    <x v="0"/>
    <d v="2025-03-25T00:00:00"/>
    <x v="5"/>
    <s v="Explore the latest video on Myntra! Trendy styles await."/>
    <n v="4050"/>
    <n v="871"/>
    <n v="347"/>
    <n v="52650"/>
    <n v="51755"/>
    <n v="209"/>
    <x v="2"/>
    <s v="FashionUpgrade"/>
    <n v="0.10005698005698006"/>
  </r>
  <r>
    <x v="107"/>
    <x v="0"/>
    <d v="2025-03-25T00:00:00"/>
    <x v="5"/>
    <s v="Explore the latest video on Myntra! Trendy styles await."/>
    <n v="4050"/>
    <n v="871"/>
    <n v="347"/>
    <n v="52650"/>
    <n v="51755"/>
    <n v="209"/>
    <x v="4"/>
    <s v="FashionUpgrade"/>
    <n v="0.10005698005698006"/>
  </r>
  <r>
    <x v="108"/>
    <x v="0"/>
    <d v="2024-08-08T00:00:00"/>
    <x v="2"/>
    <s v="Explore the latest story on Myntra! Trendy styles await."/>
    <n v="3649"/>
    <n v="215"/>
    <n v="413"/>
    <n v="25543"/>
    <n v="24963"/>
    <n v="167"/>
    <x v="1"/>
    <s v="FashionUpgrade"/>
    <n v="0.16744313510550835"/>
  </r>
  <r>
    <x v="108"/>
    <x v="0"/>
    <d v="2024-08-08T00:00:00"/>
    <x v="2"/>
    <s v="Explore the latest story on Myntra! Trendy styles await."/>
    <n v="3649"/>
    <n v="215"/>
    <n v="413"/>
    <n v="25543"/>
    <n v="24963"/>
    <n v="167"/>
    <x v="2"/>
    <s v="FashionUpgrade"/>
    <n v="0.16744313510550835"/>
  </r>
  <r>
    <x v="109"/>
    <x v="2"/>
    <d v="2024-07-29T00:00:00"/>
    <x v="0"/>
    <s v="Explore the latest reel on Myntra! Trendy styles await."/>
    <n v="3523"/>
    <n v="753"/>
    <n v="482"/>
    <n v="38753"/>
    <n v="38579"/>
    <n v="270"/>
    <x v="4"/>
    <s v="EndOfSeasonSale"/>
    <n v="0.12277759141227776"/>
  </r>
  <r>
    <x v="109"/>
    <x v="2"/>
    <d v="2024-07-29T00:00:00"/>
    <x v="0"/>
    <s v="Explore the latest reel on Myntra! Trendy styles await."/>
    <n v="3523"/>
    <n v="753"/>
    <n v="482"/>
    <n v="38753"/>
    <n v="38579"/>
    <n v="270"/>
    <x v="2"/>
    <s v="EndOfSeasonSale"/>
    <n v="0.12277759141227776"/>
  </r>
  <r>
    <x v="110"/>
    <x v="1"/>
    <d v="2024-11-23T00:00:00"/>
    <x v="4"/>
    <s v="Explore the latest image on Myntra! Trendy styles await."/>
    <n v="2719"/>
    <n v="17"/>
    <n v="285"/>
    <n v="40785"/>
    <n v="40281"/>
    <n v="40"/>
    <x v="1"/>
    <s v="MyntraFestiveEdit"/>
    <n v="7.4071349760941527E-2"/>
  </r>
  <r>
    <x v="110"/>
    <x v="1"/>
    <d v="2024-11-23T00:00:00"/>
    <x v="4"/>
    <s v="Explore the latest image on Myntra! Trendy styles await."/>
    <n v="2719"/>
    <n v="17"/>
    <n v="285"/>
    <n v="40785"/>
    <n v="40281"/>
    <n v="40"/>
    <x v="2"/>
    <s v="MyntraFestiveEdit"/>
    <n v="7.4071349760941527E-2"/>
  </r>
  <r>
    <x v="111"/>
    <x v="0"/>
    <d v="2024-10-05T00:00:00"/>
    <x v="2"/>
    <s v="Explore the latest story on Myntra! Trendy styles await."/>
    <n v="1957"/>
    <n v="877"/>
    <n v="238"/>
    <n v="17613"/>
    <n v="16865"/>
    <n v="297"/>
    <x v="1"/>
    <s v="MyntraFestiveEdit"/>
    <n v="0.17441662408448305"/>
  </r>
  <r>
    <x v="111"/>
    <x v="0"/>
    <d v="2024-10-05T00:00:00"/>
    <x v="2"/>
    <s v="Explore the latest story on Myntra! Trendy styles await."/>
    <n v="1957"/>
    <n v="877"/>
    <n v="238"/>
    <n v="17613"/>
    <n v="16865"/>
    <n v="297"/>
    <x v="0"/>
    <s v="MyntraFestiveEdit"/>
    <n v="0.17441662408448305"/>
  </r>
  <r>
    <x v="112"/>
    <x v="0"/>
    <d v="2024-10-02T00:00:00"/>
    <x v="3"/>
    <s v="Explore the latest carousel on Myntra! Trendy styles await."/>
    <n v="4419"/>
    <n v="236"/>
    <n v="369"/>
    <n v="44190"/>
    <n v="43582"/>
    <n v="10"/>
    <x v="3"/>
    <s v="StyleRevolution"/>
    <n v="0.11369088028965829"/>
  </r>
  <r>
    <x v="113"/>
    <x v="0"/>
    <d v="2024-11-14T00:00:00"/>
    <x v="2"/>
    <s v="Explore the latest story on Myntra! Trendy styles await."/>
    <n v="4000"/>
    <n v="689"/>
    <n v="488"/>
    <n v="40000"/>
    <n v="39569"/>
    <n v="44"/>
    <x v="4"/>
    <s v="MyntraFestiveEdit"/>
    <n v="0.12942500000000001"/>
  </r>
  <r>
    <x v="113"/>
    <x v="0"/>
    <d v="2024-11-14T00:00:00"/>
    <x v="2"/>
    <s v="Explore the latest story on Myntra! Trendy styles await."/>
    <n v="4000"/>
    <n v="689"/>
    <n v="488"/>
    <n v="40000"/>
    <n v="39569"/>
    <n v="44"/>
    <x v="1"/>
    <s v="MyntraFestiveEdit"/>
    <n v="0.12942500000000001"/>
  </r>
  <r>
    <x v="114"/>
    <x v="0"/>
    <d v="2025-05-11T00:00:00"/>
    <x v="4"/>
    <s v="Explore the latest image on Myntra! Trendy styles await."/>
    <n v="2493"/>
    <n v="97"/>
    <n v="44"/>
    <n v="42381"/>
    <n v="41991"/>
    <n v="242"/>
    <x v="0"/>
    <s v="FashionUpgrade"/>
    <n v="6.2150491965739366E-2"/>
  </r>
  <r>
    <x v="114"/>
    <x v="0"/>
    <d v="2025-05-11T00:00:00"/>
    <x v="4"/>
    <s v="Explore the latest image on Myntra! Trendy styles await."/>
    <n v="2493"/>
    <n v="97"/>
    <n v="44"/>
    <n v="42381"/>
    <n v="41991"/>
    <n v="242"/>
    <x v="2"/>
    <s v="FashionUpgrade"/>
    <n v="6.2150491965739366E-2"/>
  </r>
  <r>
    <x v="115"/>
    <x v="1"/>
    <d v="2025-03-18T00:00:00"/>
    <x v="0"/>
    <s v="Explore the latest reel on Myntra! Trendy styles await."/>
    <n v="3704"/>
    <n v="186"/>
    <n v="458"/>
    <n v="25928"/>
    <n v="25081"/>
    <n v="131"/>
    <x v="2"/>
    <s v="FashionUpgrade"/>
    <n v="0.16769515581610614"/>
  </r>
  <r>
    <x v="116"/>
    <x v="0"/>
    <d v="2024-11-04T00:00:00"/>
    <x v="4"/>
    <s v="Explore the latest image on Myntra! Trendy styles await."/>
    <n v="1606"/>
    <n v="451"/>
    <n v="405"/>
    <n v="20878"/>
    <n v="20190"/>
    <n v="219"/>
    <x v="0"/>
    <s v="EndOfSeasonSale"/>
    <n v="0.11792317271769326"/>
  </r>
  <r>
    <x v="116"/>
    <x v="0"/>
    <d v="2024-11-04T00:00:00"/>
    <x v="4"/>
    <s v="Explore the latest image on Myntra! Trendy styles await."/>
    <n v="1606"/>
    <n v="451"/>
    <n v="405"/>
    <n v="20878"/>
    <n v="20190"/>
    <n v="219"/>
    <x v="2"/>
    <s v="EndOfSeasonSale"/>
    <n v="0.11792317271769326"/>
  </r>
  <r>
    <x v="117"/>
    <x v="3"/>
    <d v="2024-11-04T00:00:00"/>
    <x v="4"/>
    <s v="Explore the latest image on Myntra! Trendy styles await."/>
    <n v="4551"/>
    <n v="714"/>
    <n v="207"/>
    <n v="68265"/>
    <n v="67754"/>
    <n v="57"/>
    <x v="3"/>
    <s v="EndOfSeasonSale"/>
    <n v="8.0158206987475278E-2"/>
  </r>
  <r>
    <x v="118"/>
    <x v="2"/>
    <d v="2025-02-07T00:00:00"/>
    <x v="0"/>
    <s v="Explore the latest reel on Myntra! Trendy styles await."/>
    <n v="1970"/>
    <n v="675"/>
    <n v="478"/>
    <n v="9850"/>
    <n v="8924"/>
    <n v="117"/>
    <x v="3"/>
    <s v="StyleRevolution"/>
    <n v="0.31705583756345179"/>
  </r>
  <r>
    <x v="119"/>
    <x v="3"/>
    <d v="2024-10-21T00:00:00"/>
    <x v="2"/>
    <s v="Explore the latest story on Myntra! Trendy styles await."/>
    <n v="780"/>
    <n v="928"/>
    <n v="301"/>
    <n v="8580"/>
    <n v="8081"/>
    <n v="91"/>
    <x v="0"/>
    <s v="StyleRevolution"/>
    <n v="0.23414918414918415"/>
  </r>
  <r>
    <x v="119"/>
    <x v="3"/>
    <d v="2024-10-21T00:00:00"/>
    <x v="2"/>
    <s v="Explore the latest story on Myntra! Trendy styles await."/>
    <n v="780"/>
    <n v="928"/>
    <n v="301"/>
    <n v="8580"/>
    <n v="8081"/>
    <n v="91"/>
    <x v="1"/>
    <s v="StyleRevolution"/>
    <n v="0.23414918414918415"/>
  </r>
  <r>
    <x v="120"/>
    <x v="2"/>
    <d v="2024-07-29T00:00:00"/>
    <x v="2"/>
    <s v="Explore the latest story on Myntra! Trendy styles await."/>
    <n v="498"/>
    <n v="701"/>
    <n v="412"/>
    <n v="4980"/>
    <n v="4185"/>
    <n v="185"/>
    <x v="4"/>
    <s v="StyleRevolution"/>
    <n v="0.32349397590361445"/>
  </r>
  <r>
    <x v="120"/>
    <x v="2"/>
    <d v="2024-07-29T00:00:00"/>
    <x v="2"/>
    <s v="Explore the latest story on Myntra! Trendy styles await."/>
    <n v="498"/>
    <n v="701"/>
    <n v="412"/>
    <n v="4980"/>
    <n v="4185"/>
    <n v="185"/>
    <x v="2"/>
    <s v="StyleRevolution"/>
    <n v="0.32349397590361445"/>
  </r>
  <r>
    <x v="121"/>
    <x v="2"/>
    <d v="2024-10-02T00:00:00"/>
    <x v="1"/>
    <s v="Explore the latest text on Myntra! Trendy styles await."/>
    <n v="3432"/>
    <n v="869"/>
    <n v="123"/>
    <n v="54912"/>
    <n v="53916"/>
    <n v="264"/>
    <x v="1"/>
    <s v="EndOfSeasonSale"/>
    <n v="8.0565268065268064E-2"/>
  </r>
  <r>
    <x v="121"/>
    <x v="2"/>
    <d v="2024-10-02T00:00:00"/>
    <x v="1"/>
    <s v="Explore the latest text on Myntra! Trendy styles await."/>
    <n v="3432"/>
    <n v="869"/>
    <n v="123"/>
    <n v="54912"/>
    <n v="53916"/>
    <n v="264"/>
    <x v="3"/>
    <s v="EndOfSeasonSale"/>
    <n v="8.0565268065268064E-2"/>
  </r>
  <r>
    <x v="122"/>
    <x v="2"/>
    <d v="2024-06-14T00:00:00"/>
    <x v="2"/>
    <s v="Explore the latest story on Myntra! Trendy styles await."/>
    <n v="4363"/>
    <n v="649"/>
    <n v="140"/>
    <n v="21815"/>
    <n v="21481"/>
    <n v="157"/>
    <x v="0"/>
    <s v="EndOfSeasonSale"/>
    <n v="0.23616777446710979"/>
  </r>
  <r>
    <x v="122"/>
    <x v="2"/>
    <d v="2024-06-14T00:00:00"/>
    <x v="2"/>
    <s v="Explore the latest story on Myntra! Trendy styles await."/>
    <n v="4363"/>
    <n v="649"/>
    <n v="140"/>
    <n v="21815"/>
    <n v="21481"/>
    <n v="157"/>
    <x v="1"/>
    <s v="EndOfSeasonSale"/>
    <n v="0.23616777446710979"/>
  </r>
  <r>
    <x v="123"/>
    <x v="1"/>
    <d v="2025-04-06T00:00:00"/>
    <x v="3"/>
    <s v="Explore the latest carousel on Myntra! Trendy styles await."/>
    <n v="736"/>
    <n v="771"/>
    <n v="225"/>
    <n v="5152"/>
    <n v="4706"/>
    <n v="19"/>
    <x v="2"/>
    <s v="MyntraFestiveEdit"/>
    <n v="0.33618012422360249"/>
  </r>
  <r>
    <x v="124"/>
    <x v="0"/>
    <d v="2024-09-08T00:00:00"/>
    <x v="3"/>
    <s v="Explore the latest carousel on Myntra! Trendy styles await."/>
    <n v="3811"/>
    <n v="866"/>
    <n v="216"/>
    <n v="34299"/>
    <n v="34088"/>
    <n v="233"/>
    <x v="2"/>
    <s v="MyntraFestiveEdit"/>
    <n v="0.14265722032712325"/>
  </r>
  <r>
    <x v="125"/>
    <x v="2"/>
    <d v="2025-03-28T00:00:00"/>
    <x v="3"/>
    <s v="Explore the latest carousel on Myntra! Trendy styles await."/>
    <n v="4158"/>
    <n v="167"/>
    <n v="241"/>
    <n v="45738"/>
    <n v="45183"/>
    <n v="142"/>
    <x v="1"/>
    <s v="EndOfSeasonSale"/>
    <n v="9.9829463465827106E-2"/>
  </r>
  <r>
    <x v="126"/>
    <x v="3"/>
    <d v="2025-01-27T00:00:00"/>
    <x v="0"/>
    <s v="Explore the latest reel on Myntra! Trendy styles await."/>
    <n v="3452"/>
    <n v="652"/>
    <n v="442"/>
    <n v="65588"/>
    <n v="65049"/>
    <n v="158"/>
    <x v="0"/>
    <s v="FashionUpgrade"/>
    <n v="6.9311459413307311E-2"/>
  </r>
  <r>
    <x v="126"/>
    <x v="3"/>
    <d v="2025-01-27T00:00:00"/>
    <x v="0"/>
    <s v="Explore the latest reel on Myntra! Trendy styles await."/>
    <n v="3452"/>
    <n v="652"/>
    <n v="442"/>
    <n v="65588"/>
    <n v="65049"/>
    <n v="158"/>
    <x v="2"/>
    <s v="FashionUpgrade"/>
    <n v="6.9311459413307311E-2"/>
  </r>
  <r>
    <x v="127"/>
    <x v="0"/>
    <d v="2025-01-10T00:00:00"/>
    <x v="4"/>
    <s v="Explore the latest image on Myntra! Trendy styles await."/>
    <n v="3092"/>
    <n v="106"/>
    <n v="291"/>
    <n v="27828"/>
    <n v="27217"/>
    <n v="102"/>
    <x v="2"/>
    <s v="StyleRevolution"/>
    <n v="0.12537731780940059"/>
  </r>
  <r>
    <x v="128"/>
    <x v="0"/>
    <d v="2024-07-21T00:00:00"/>
    <x v="1"/>
    <s v="Explore the latest text on Myntra! Trendy styles await."/>
    <n v="2147"/>
    <n v="430"/>
    <n v="393"/>
    <n v="17176"/>
    <n v="16483"/>
    <n v="170"/>
    <x v="4"/>
    <s v="StyleRevolution"/>
    <n v="0.17291569632044715"/>
  </r>
  <r>
    <x v="129"/>
    <x v="1"/>
    <d v="2024-09-29T00:00:00"/>
    <x v="0"/>
    <s v="Explore the latest reel on Myntra! Trendy styles await."/>
    <n v="2936"/>
    <n v="439"/>
    <n v="44"/>
    <n v="38168"/>
    <n v="37571"/>
    <n v="22"/>
    <x v="0"/>
    <s v="MyntraFestiveEdit"/>
    <n v="8.9577656675749323E-2"/>
  </r>
  <r>
    <x v="130"/>
    <x v="2"/>
    <d v="2024-10-21T00:00:00"/>
    <x v="0"/>
    <s v="Explore the latest reel on Myntra! Trendy styles await."/>
    <n v="4840"/>
    <n v="658"/>
    <n v="211"/>
    <n v="43560"/>
    <n v="43225"/>
    <n v="57"/>
    <x v="0"/>
    <s v="EndOfSeasonSale"/>
    <n v="0.13106060606060607"/>
  </r>
  <r>
    <x v="130"/>
    <x v="2"/>
    <d v="2024-10-21T00:00:00"/>
    <x v="0"/>
    <s v="Explore the latest reel on Myntra! Trendy styles await."/>
    <n v="4840"/>
    <n v="658"/>
    <n v="211"/>
    <n v="43560"/>
    <n v="43225"/>
    <n v="57"/>
    <x v="1"/>
    <s v="EndOfSeasonSale"/>
    <n v="0.13106060606060607"/>
  </r>
  <r>
    <x v="131"/>
    <x v="2"/>
    <d v="2025-03-04T00:00:00"/>
    <x v="2"/>
    <s v="Explore the latest story on Myntra! Trendy styles await."/>
    <n v="1947"/>
    <n v="842"/>
    <n v="101"/>
    <n v="21417"/>
    <n v="20967"/>
    <n v="186"/>
    <x v="1"/>
    <s v="EndOfSeasonSale"/>
    <n v="0.13493953401503478"/>
  </r>
  <r>
    <x v="132"/>
    <x v="3"/>
    <d v="2025-02-06T00:00:00"/>
    <x v="4"/>
    <s v="Explore the latest image on Myntra! Trendy styles await."/>
    <n v="2072"/>
    <n v="532"/>
    <n v="71"/>
    <n v="37296"/>
    <n v="36467"/>
    <n v="25"/>
    <x v="0"/>
    <s v="MyntraFestiveEdit"/>
    <n v="7.172350922350923E-2"/>
  </r>
  <r>
    <x v="133"/>
    <x v="0"/>
    <d v="2025-04-24T00:00:00"/>
    <x v="0"/>
    <s v="Explore the latest reel on Myntra! Trendy styles await."/>
    <n v="3731"/>
    <n v="115"/>
    <n v="135"/>
    <n v="55965"/>
    <n v="55436"/>
    <n v="103"/>
    <x v="4"/>
    <s v="StyleRevolution"/>
    <n v="7.1133744304476013E-2"/>
  </r>
  <r>
    <x v="134"/>
    <x v="3"/>
    <d v="2024-11-28T00:00:00"/>
    <x v="1"/>
    <s v="Explore the latest text on Myntra! Trendy styles await."/>
    <n v="4213"/>
    <n v="253"/>
    <n v="434"/>
    <n v="75834"/>
    <n v="75437"/>
    <n v="272"/>
    <x v="3"/>
    <s v="MyntraFestiveEdit"/>
    <n v="6.461481657304112E-2"/>
  </r>
  <r>
    <x v="135"/>
    <x v="2"/>
    <d v="2024-07-11T00:00:00"/>
    <x v="1"/>
    <s v="Explore the latest text on Myntra! Trendy styles await."/>
    <n v="3134"/>
    <n v="888"/>
    <n v="444"/>
    <n v="21938"/>
    <n v="21337"/>
    <n v="130"/>
    <x v="0"/>
    <s v="StyleRevolution"/>
    <n v="0.20357370772176134"/>
  </r>
  <r>
    <x v="135"/>
    <x v="2"/>
    <d v="2024-07-11T00:00:00"/>
    <x v="1"/>
    <s v="Explore the latest text on Myntra! Trendy styles await."/>
    <n v="3134"/>
    <n v="888"/>
    <n v="444"/>
    <n v="21938"/>
    <n v="21337"/>
    <n v="130"/>
    <x v="1"/>
    <s v="StyleRevolution"/>
    <n v="0.20357370772176134"/>
  </r>
  <r>
    <x v="136"/>
    <x v="3"/>
    <d v="2024-07-31T00:00:00"/>
    <x v="5"/>
    <s v="Explore the latest video on Myntra! Trendy styles await."/>
    <n v="3008"/>
    <n v="94"/>
    <n v="37"/>
    <n v="15040"/>
    <n v="14639"/>
    <n v="277"/>
    <x v="4"/>
    <s v="FashionUpgrade"/>
    <n v="0.20871010638297871"/>
  </r>
  <r>
    <x v="137"/>
    <x v="0"/>
    <d v="2025-03-29T00:00:00"/>
    <x v="4"/>
    <s v="Explore the latest image on Myntra! Trendy styles await."/>
    <n v="305"/>
    <n v="187"/>
    <n v="243"/>
    <n v="4575"/>
    <n v="3704"/>
    <n v="234"/>
    <x v="1"/>
    <s v="StyleRevolution"/>
    <n v="0.16065573770491803"/>
  </r>
  <r>
    <x v="137"/>
    <x v="0"/>
    <d v="2025-03-29T00:00:00"/>
    <x v="4"/>
    <s v="Explore the latest image on Myntra! Trendy styles await."/>
    <n v="305"/>
    <n v="187"/>
    <n v="243"/>
    <n v="4575"/>
    <n v="3704"/>
    <n v="234"/>
    <x v="3"/>
    <s v="StyleRevolution"/>
    <n v="0.16065573770491803"/>
  </r>
  <r>
    <x v="138"/>
    <x v="1"/>
    <d v="2024-10-29T00:00:00"/>
    <x v="1"/>
    <s v="Explore the latest text on Myntra! Trendy styles await."/>
    <n v="2746"/>
    <n v="156"/>
    <n v="203"/>
    <n v="32952"/>
    <n v="32147"/>
    <n v="147"/>
    <x v="1"/>
    <s v="EndOfSeasonSale"/>
    <n v="9.422796795338674E-2"/>
  </r>
  <r>
    <x v="138"/>
    <x v="1"/>
    <d v="2024-10-29T00:00:00"/>
    <x v="1"/>
    <s v="Explore the latest text on Myntra! Trendy styles await."/>
    <n v="2746"/>
    <n v="156"/>
    <n v="203"/>
    <n v="32952"/>
    <n v="32147"/>
    <n v="147"/>
    <x v="2"/>
    <s v="EndOfSeasonSale"/>
    <n v="9.422796795338674E-2"/>
  </r>
  <r>
    <x v="139"/>
    <x v="3"/>
    <d v="2024-07-15T00:00:00"/>
    <x v="4"/>
    <s v="Explore the latest image on Myntra! Trendy styles await."/>
    <n v="2291"/>
    <n v="78"/>
    <n v="485"/>
    <n v="18328"/>
    <n v="18101"/>
    <n v="10"/>
    <x v="4"/>
    <s v="FashionUpgrade"/>
    <n v="0.15571802706241816"/>
  </r>
  <r>
    <x v="140"/>
    <x v="0"/>
    <d v="2024-08-31T00:00:00"/>
    <x v="4"/>
    <s v="Explore the latest image on Myntra! Trendy styles await."/>
    <n v="3170"/>
    <n v="857"/>
    <n v="379"/>
    <n v="19020"/>
    <n v="18559"/>
    <n v="240"/>
    <x v="0"/>
    <s v="MyntraFestiveEdit"/>
    <n v="0.2316508937960042"/>
  </r>
  <r>
    <x v="141"/>
    <x v="1"/>
    <d v="2025-03-25T00:00:00"/>
    <x v="2"/>
    <s v="Explore the latest story on Myntra! Trendy styles await."/>
    <n v="2070"/>
    <n v="275"/>
    <n v="386"/>
    <n v="39330"/>
    <n v="38627"/>
    <n v="114"/>
    <x v="0"/>
    <s v="StyleRevolution"/>
    <n v="6.9438087973557078E-2"/>
  </r>
  <r>
    <x v="142"/>
    <x v="1"/>
    <d v="2024-10-02T00:00:00"/>
    <x v="3"/>
    <s v="Explore the latest carousel on Myntra! Trendy styles await."/>
    <n v="80"/>
    <n v="362"/>
    <n v="80"/>
    <n v="1040"/>
    <n v="349"/>
    <n v="117"/>
    <x v="1"/>
    <s v="EndOfSeasonSale"/>
    <n v="0.50192307692307692"/>
  </r>
  <r>
    <x v="142"/>
    <x v="1"/>
    <d v="2024-10-02T00:00:00"/>
    <x v="3"/>
    <s v="Explore the latest carousel on Myntra! Trendy styles await."/>
    <n v="80"/>
    <n v="362"/>
    <n v="80"/>
    <n v="1040"/>
    <n v="349"/>
    <n v="117"/>
    <x v="2"/>
    <s v="EndOfSeasonSale"/>
    <n v="0.50192307692307692"/>
  </r>
  <r>
    <x v="143"/>
    <x v="1"/>
    <d v="2024-10-28T00:00:00"/>
    <x v="2"/>
    <s v="Explore the latest story on Myntra! Trendy styles await."/>
    <n v="4929"/>
    <n v="749"/>
    <n v="452"/>
    <n v="93651"/>
    <n v="92810"/>
    <n v="66"/>
    <x v="3"/>
    <s v="FashionUpgrade"/>
    <n v="6.5455787978772245E-2"/>
  </r>
  <r>
    <x v="143"/>
    <x v="1"/>
    <d v="2024-10-28T00:00:00"/>
    <x v="2"/>
    <s v="Explore the latest story on Myntra! Trendy styles await."/>
    <n v="4929"/>
    <n v="749"/>
    <n v="452"/>
    <n v="93651"/>
    <n v="92810"/>
    <n v="66"/>
    <x v="2"/>
    <s v="FashionUpgrade"/>
    <n v="6.5455787978772245E-2"/>
  </r>
  <r>
    <x v="144"/>
    <x v="2"/>
    <d v="2024-08-12T00:00:00"/>
    <x v="3"/>
    <s v="Explore the latest carousel on Myntra! Trendy styles await."/>
    <n v="1878"/>
    <n v="62"/>
    <n v="179"/>
    <n v="37560"/>
    <n v="36874"/>
    <n v="142"/>
    <x v="4"/>
    <s v="FashionUpgrade"/>
    <n v="5.6416400425985093E-2"/>
  </r>
  <r>
    <x v="144"/>
    <x v="2"/>
    <d v="2024-08-12T00:00:00"/>
    <x v="3"/>
    <s v="Explore the latest carousel on Myntra! Trendy styles await."/>
    <n v="1878"/>
    <n v="62"/>
    <n v="179"/>
    <n v="37560"/>
    <n v="36874"/>
    <n v="142"/>
    <x v="3"/>
    <s v="FashionUpgrade"/>
    <n v="5.6416400425985093E-2"/>
  </r>
  <r>
    <x v="145"/>
    <x v="1"/>
    <d v="2024-06-05T00:00:00"/>
    <x v="0"/>
    <s v="Explore the latest reel on Myntra! Trendy styles await."/>
    <n v="3065"/>
    <n v="772"/>
    <n v="142"/>
    <n v="18390"/>
    <n v="17875"/>
    <n v="200"/>
    <x v="2"/>
    <s v="FashionUpgrade"/>
    <n v="0.21636759108210984"/>
  </r>
  <r>
    <x v="146"/>
    <x v="2"/>
    <d v="2024-10-21T00:00:00"/>
    <x v="0"/>
    <s v="Explore the latest reel on Myntra! Trendy styles await."/>
    <n v="3256"/>
    <n v="459"/>
    <n v="266"/>
    <n v="26048"/>
    <n v="25529"/>
    <n v="143"/>
    <x v="0"/>
    <s v="MyntraFestiveEdit"/>
    <n v="0.15283323095823095"/>
  </r>
  <r>
    <x v="146"/>
    <x v="2"/>
    <d v="2024-10-21T00:00:00"/>
    <x v="0"/>
    <s v="Explore the latest reel on Myntra! Trendy styles await."/>
    <n v="3256"/>
    <n v="459"/>
    <n v="266"/>
    <n v="26048"/>
    <n v="25529"/>
    <n v="143"/>
    <x v="2"/>
    <s v="MyntraFestiveEdit"/>
    <n v="0.15283323095823095"/>
  </r>
  <r>
    <x v="147"/>
    <x v="2"/>
    <d v="2025-04-15T00:00:00"/>
    <x v="5"/>
    <s v="Explore the latest video on Myntra! Trendy styles await."/>
    <n v="4133"/>
    <n v="466"/>
    <n v="327"/>
    <n v="24798"/>
    <n v="24620"/>
    <n v="176"/>
    <x v="2"/>
    <s v="EndOfSeasonSale"/>
    <n v="0.19864505202032423"/>
  </r>
  <r>
    <x v="148"/>
    <x v="0"/>
    <d v="2024-06-16T00:00:00"/>
    <x v="5"/>
    <s v="Explore the latest video on Myntra! Trendy styles await."/>
    <n v="1702"/>
    <n v="750"/>
    <n v="179"/>
    <n v="34040"/>
    <n v="33174"/>
    <n v="76"/>
    <x v="3"/>
    <s v="MyntraFestiveEdit"/>
    <n v="7.7291421856639245E-2"/>
  </r>
  <r>
    <x v="149"/>
    <x v="1"/>
    <d v="2024-08-22T00:00:00"/>
    <x v="3"/>
    <s v="Explore the latest carousel on Myntra! Trendy styles await."/>
    <n v="4295"/>
    <n v="853"/>
    <n v="325"/>
    <n v="85900"/>
    <n v="85788"/>
    <n v="290"/>
    <x v="3"/>
    <s v="EndOfSeasonSale"/>
    <n v="6.3713620488940623E-2"/>
  </r>
  <r>
    <x v="149"/>
    <x v="1"/>
    <d v="2024-08-22T00:00:00"/>
    <x v="3"/>
    <s v="Explore the latest carousel on Myntra! Trendy styles await."/>
    <n v="4295"/>
    <n v="853"/>
    <n v="325"/>
    <n v="85900"/>
    <n v="85788"/>
    <n v="290"/>
    <x v="0"/>
    <s v="EndOfSeasonSale"/>
    <n v="6.3713620488940623E-2"/>
  </r>
  <r>
    <x v="150"/>
    <x v="2"/>
    <d v="2024-07-26T00:00:00"/>
    <x v="4"/>
    <s v="Explore the latest image on Myntra! Trendy styles await."/>
    <n v="3559"/>
    <n v="59"/>
    <n v="289"/>
    <n v="35590"/>
    <n v="35105"/>
    <n v="122"/>
    <x v="3"/>
    <s v="MyntraFestiveEdit"/>
    <n v="0.10977802753582468"/>
  </r>
  <r>
    <x v="150"/>
    <x v="2"/>
    <d v="2024-07-26T00:00:00"/>
    <x v="4"/>
    <s v="Explore the latest image on Myntra! Trendy styles await."/>
    <n v="3559"/>
    <n v="59"/>
    <n v="289"/>
    <n v="35590"/>
    <n v="35105"/>
    <n v="122"/>
    <x v="2"/>
    <s v="MyntraFestiveEdit"/>
    <n v="0.10977802753582468"/>
  </r>
  <r>
    <x v="151"/>
    <x v="3"/>
    <d v="2025-04-22T00:00:00"/>
    <x v="4"/>
    <s v="Explore the latest image on Myntra! Trendy styles await."/>
    <n v="4804"/>
    <n v="550"/>
    <n v="270"/>
    <n v="28824"/>
    <n v="28370"/>
    <n v="47"/>
    <x v="0"/>
    <s v="StyleRevolution"/>
    <n v="0.19511518179295032"/>
  </r>
  <r>
    <x v="151"/>
    <x v="3"/>
    <d v="2025-04-22T00:00:00"/>
    <x v="4"/>
    <s v="Explore the latest image on Myntra! Trendy styles await."/>
    <n v="4804"/>
    <n v="550"/>
    <n v="270"/>
    <n v="28824"/>
    <n v="28370"/>
    <n v="47"/>
    <x v="2"/>
    <s v="StyleRevolution"/>
    <n v="0.19511518179295032"/>
  </r>
  <r>
    <x v="152"/>
    <x v="0"/>
    <d v="2025-01-01T00:00:00"/>
    <x v="5"/>
    <s v="Explore the latest video on Myntra! Trendy styles await."/>
    <n v="754"/>
    <n v="197"/>
    <n v="257"/>
    <n v="6786"/>
    <n v="6221"/>
    <n v="212"/>
    <x v="4"/>
    <s v="MyntraFestiveEdit"/>
    <n v="0.17801355732390214"/>
  </r>
  <r>
    <x v="152"/>
    <x v="0"/>
    <d v="2025-01-01T00:00:00"/>
    <x v="5"/>
    <s v="Explore the latest video on Myntra! Trendy styles await."/>
    <n v="754"/>
    <n v="197"/>
    <n v="257"/>
    <n v="6786"/>
    <n v="6221"/>
    <n v="212"/>
    <x v="3"/>
    <s v="MyntraFestiveEdit"/>
    <n v="0.17801355732390214"/>
  </r>
  <r>
    <x v="153"/>
    <x v="2"/>
    <d v="2024-10-09T00:00:00"/>
    <x v="3"/>
    <s v="Explore the latest carousel on Myntra! Trendy styles await."/>
    <n v="985"/>
    <n v="932"/>
    <n v="287"/>
    <n v="6895"/>
    <n v="6757"/>
    <n v="64"/>
    <x v="0"/>
    <s v="EndOfSeasonSale"/>
    <n v="0.31965192168237855"/>
  </r>
  <r>
    <x v="153"/>
    <x v="2"/>
    <d v="2024-10-09T00:00:00"/>
    <x v="3"/>
    <s v="Explore the latest carousel on Myntra! Trendy styles await."/>
    <n v="985"/>
    <n v="932"/>
    <n v="287"/>
    <n v="6895"/>
    <n v="6757"/>
    <n v="64"/>
    <x v="1"/>
    <s v="EndOfSeasonSale"/>
    <n v="0.31965192168237855"/>
  </r>
  <r>
    <x v="154"/>
    <x v="1"/>
    <d v="2024-12-21T00:00:00"/>
    <x v="4"/>
    <s v="Explore the latest image on Myntra! Trendy styles await."/>
    <n v="2283"/>
    <n v="210"/>
    <n v="130"/>
    <n v="22830"/>
    <n v="22617"/>
    <n v="143"/>
    <x v="1"/>
    <s v="MyntraFestiveEdit"/>
    <n v="0.11489268506351293"/>
  </r>
  <r>
    <x v="154"/>
    <x v="1"/>
    <d v="2024-12-21T00:00:00"/>
    <x v="4"/>
    <s v="Explore the latest image on Myntra! Trendy styles await."/>
    <n v="2283"/>
    <n v="210"/>
    <n v="130"/>
    <n v="22830"/>
    <n v="22617"/>
    <n v="143"/>
    <x v="2"/>
    <s v="MyntraFestiveEdit"/>
    <n v="0.11489268506351293"/>
  </r>
  <r>
    <x v="155"/>
    <x v="3"/>
    <d v="2024-10-22T00:00:00"/>
    <x v="3"/>
    <s v="Explore the latest carousel on Myntra! Trendy styles await."/>
    <n v="3352"/>
    <n v="941"/>
    <n v="482"/>
    <n v="43576"/>
    <n v="43338"/>
    <n v="240"/>
    <x v="3"/>
    <s v="MyntraFestiveEdit"/>
    <n v="0.1095786671562328"/>
  </r>
  <r>
    <x v="156"/>
    <x v="1"/>
    <d v="2024-07-23T00:00:00"/>
    <x v="2"/>
    <s v="Explore the latest story on Myntra! Trendy styles await."/>
    <n v="4775"/>
    <n v="173"/>
    <n v="206"/>
    <n v="47750"/>
    <n v="47544"/>
    <n v="187"/>
    <x v="2"/>
    <s v="StyleRevolution"/>
    <n v="0.10793717277486911"/>
  </r>
  <r>
    <x v="156"/>
    <x v="1"/>
    <d v="2024-07-23T00:00:00"/>
    <x v="2"/>
    <s v="Explore the latest story on Myntra! Trendy styles await."/>
    <n v="4775"/>
    <n v="173"/>
    <n v="206"/>
    <n v="47750"/>
    <n v="47544"/>
    <n v="187"/>
    <x v="3"/>
    <s v="StyleRevolution"/>
    <n v="0.10793717277486911"/>
  </r>
  <r>
    <x v="157"/>
    <x v="2"/>
    <d v="2024-08-11T00:00:00"/>
    <x v="2"/>
    <s v="Explore the latest story on Myntra! Trendy styles await."/>
    <n v="1762"/>
    <n v="405"/>
    <n v="423"/>
    <n v="22906"/>
    <n v="21925"/>
    <n v="25"/>
    <x v="4"/>
    <s v="EndOfSeasonSale"/>
    <n v="0.11307081114118571"/>
  </r>
  <r>
    <x v="158"/>
    <x v="3"/>
    <d v="2024-11-25T00:00:00"/>
    <x v="2"/>
    <s v="Explore the latest story on Myntra! Trendy styles await."/>
    <n v="2120"/>
    <n v="158"/>
    <n v="488"/>
    <n v="12720"/>
    <n v="12085"/>
    <n v="17"/>
    <x v="2"/>
    <s v="EndOfSeasonSale"/>
    <n v="0.21745283018867925"/>
  </r>
  <r>
    <x v="158"/>
    <x v="3"/>
    <d v="2024-11-25T00:00:00"/>
    <x v="2"/>
    <s v="Explore the latest story on Myntra! Trendy styles await."/>
    <n v="2120"/>
    <n v="158"/>
    <n v="488"/>
    <n v="12720"/>
    <n v="12085"/>
    <n v="17"/>
    <x v="3"/>
    <s v="EndOfSeasonSale"/>
    <n v="0.21745283018867925"/>
  </r>
  <r>
    <x v="159"/>
    <x v="0"/>
    <d v="2024-08-24T00:00:00"/>
    <x v="5"/>
    <s v="Explore the latest video on Myntra! Trendy styles await."/>
    <n v="1082"/>
    <n v="209"/>
    <n v="484"/>
    <n v="19476"/>
    <n v="18654"/>
    <n v="20"/>
    <x v="2"/>
    <s v="StyleRevolution"/>
    <n v="9.1137810638734856E-2"/>
  </r>
  <r>
    <x v="160"/>
    <x v="0"/>
    <d v="2025-02-19T00:00:00"/>
    <x v="1"/>
    <s v="Explore the latest text on Myntra! Trendy styles await."/>
    <n v="4671"/>
    <n v="876"/>
    <n v="366"/>
    <n v="51381"/>
    <n v="50565"/>
    <n v="245"/>
    <x v="0"/>
    <s v="EndOfSeasonSale"/>
    <n v="0.11508145034156594"/>
  </r>
  <r>
    <x v="161"/>
    <x v="3"/>
    <d v="2025-04-01T00:00:00"/>
    <x v="2"/>
    <s v="Explore the latest story on Myntra! Trendy styles await."/>
    <n v="3430"/>
    <n v="566"/>
    <n v="164"/>
    <n v="48020"/>
    <n v="47305"/>
    <n v="120"/>
    <x v="3"/>
    <s v="EndOfSeasonSale"/>
    <n v="8.6630570595585168E-2"/>
  </r>
  <r>
    <x v="162"/>
    <x v="2"/>
    <d v="2025-04-08T00:00:00"/>
    <x v="4"/>
    <s v="Explore the latest image on Myntra! Trendy styles await."/>
    <n v="4501"/>
    <n v="375"/>
    <n v="323"/>
    <n v="22505"/>
    <n v="21836"/>
    <n v="132"/>
    <x v="1"/>
    <s v="StyleRevolution"/>
    <n v="0.23101532992668297"/>
  </r>
  <r>
    <x v="163"/>
    <x v="1"/>
    <d v="2025-02-27T00:00:00"/>
    <x v="1"/>
    <s v="Explore the latest text on Myntra! Trendy styles await."/>
    <n v="4934"/>
    <n v="971"/>
    <n v="156"/>
    <n v="39472"/>
    <n v="39025"/>
    <n v="169"/>
    <x v="4"/>
    <s v="EndOfSeasonSale"/>
    <n v="0.15355188488042157"/>
  </r>
  <r>
    <x v="163"/>
    <x v="1"/>
    <d v="2025-02-27T00:00:00"/>
    <x v="1"/>
    <s v="Explore the latest text on Myntra! Trendy styles await."/>
    <n v="4934"/>
    <n v="971"/>
    <n v="156"/>
    <n v="39472"/>
    <n v="39025"/>
    <n v="169"/>
    <x v="2"/>
    <s v="EndOfSeasonSale"/>
    <n v="0.15355188488042157"/>
  </r>
  <r>
    <x v="164"/>
    <x v="0"/>
    <d v="2024-12-11T00:00:00"/>
    <x v="1"/>
    <s v="Explore the latest text on Myntra! Trendy styles await."/>
    <n v="3239"/>
    <n v="43"/>
    <n v="211"/>
    <n v="22673"/>
    <n v="22171"/>
    <n v="230"/>
    <x v="3"/>
    <s v="EndOfSeasonSale"/>
    <n v="0.15405989502933004"/>
  </r>
  <r>
    <x v="164"/>
    <x v="0"/>
    <d v="2024-12-11T00:00:00"/>
    <x v="1"/>
    <s v="Explore the latest text on Myntra! Trendy styles await."/>
    <n v="3239"/>
    <n v="43"/>
    <n v="211"/>
    <n v="22673"/>
    <n v="22171"/>
    <n v="230"/>
    <x v="2"/>
    <s v="EndOfSeasonSale"/>
    <n v="0.15405989502933004"/>
  </r>
  <r>
    <x v="165"/>
    <x v="0"/>
    <d v="2025-02-16T00:00:00"/>
    <x v="0"/>
    <s v="Explore the latest reel on Myntra! Trendy styles await."/>
    <n v="1076"/>
    <n v="313"/>
    <n v="306"/>
    <n v="11836"/>
    <n v="11596"/>
    <n v="104"/>
    <x v="4"/>
    <s v="EndOfSeasonSale"/>
    <n v="0.14320716458262928"/>
  </r>
  <r>
    <x v="166"/>
    <x v="2"/>
    <d v="2024-11-28T00:00:00"/>
    <x v="1"/>
    <s v="Explore the latest text on Myntra! Trendy styles await."/>
    <n v="4771"/>
    <n v="818"/>
    <n v="56"/>
    <n v="57252"/>
    <n v="56378"/>
    <n v="150"/>
    <x v="0"/>
    <s v="EndOfSeasonSale"/>
    <n v="9.859917557465242E-2"/>
  </r>
  <r>
    <x v="167"/>
    <x v="3"/>
    <d v="2024-11-12T00:00:00"/>
    <x v="1"/>
    <s v="Explore the latest text on Myntra! Trendy styles await."/>
    <n v="2418"/>
    <n v="754"/>
    <n v="54"/>
    <n v="43524"/>
    <n v="42743"/>
    <n v="182"/>
    <x v="1"/>
    <s v="StyleRevolution"/>
    <n v="7.412002573292896E-2"/>
  </r>
  <r>
    <x v="167"/>
    <x v="3"/>
    <d v="2024-11-12T00:00:00"/>
    <x v="1"/>
    <s v="Explore the latest text on Myntra! Trendy styles await."/>
    <n v="2418"/>
    <n v="754"/>
    <n v="54"/>
    <n v="43524"/>
    <n v="42743"/>
    <n v="182"/>
    <x v="3"/>
    <s v="StyleRevolution"/>
    <n v="7.412002573292896E-2"/>
  </r>
  <r>
    <x v="168"/>
    <x v="1"/>
    <d v="2024-12-03T00:00:00"/>
    <x v="5"/>
    <s v="Explore the latest video on Myntra! Trendy styles await."/>
    <n v="3809"/>
    <n v="273"/>
    <n v="200"/>
    <n v="34281"/>
    <n v="33534"/>
    <n v="83"/>
    <x v="3"/>
    <s v="MyntraFestiveEdit"/>
    <n v="0.12490884163239112"/>
  </r>
  <r>
    <x v="169"/>
    <x v="0"/>
    <d v="2025-04-28T00:00:00"/>
    <x v="1"/>
    <s v="Explore the latest text on Myntra! Trendy styles await."/>
    <n v="3577"/>
    <n v="596"/>
    <n v="493"/>
    <n v="67963"/>
    <n v="67839"/>
    <n v="53"/>
    <x v="2"/>
    <s v="StyleRevolution"/>
    <n v="6.8655003457763777E-2"/>
  </r>
  <r>
    <x v="169"/>
    <x v="0"/>
    <d v="2025-04-28T00:00:00"/>
    <x v="1"/>
    <s v="Explore the latest text on Myntra! Trendy styles await."/>
    <n v="3577"/>
    <n v="596"/>
    <n v="493"/>
    <n v="67963"/>
    <n v="67839"/>
    <n v="53"/>
    <x v="3"/>
    <s v="StyleRevolution"/>
    <n v="6.8655003457763777E-2"/>
  </r>
  <r>
    <x v="170"/>
    <x v="1"/>
    <d v="2024-12-31T00:00:00"/>
    <x v="5"/>
    <s v="Explore the latest video on Myntra! Trendy styles await."/>
    <n v="1018"/>
    <n v="447"/>
    <n v="332"/>
    <n v="18324"/>
    <n v="18164"/>
    <n v="38"/>
    <x v="0"/>
    <s v="StyleRevolution"/>
    <n v="9.8068107400130972E-2"/>
  </r>
  <r>
    <x v="170"/>
    <x v="1"/>
    <d v="2024-12-31T00:00:00"/>
    <x v="5"/>
    <s v="Explore the latest video on Myntra! Trendy styles await."/>
    <n v="1018"/>
    <n v="447"/>
    <n v="332"/>
    <n v="18324"/>
    <n v="18164"/>
    <n v="38"/>
    <x v="1"/>
    <s v="StyleRevolution"/>
    <n v="9.8068107400130972E-2"/>
  </r>
  <r>
    <x v="171"/>
    <x v="3"/>
    <d v="2024-08-14T00:00:00"/>
    <x v="3"/>
    <s v="Explore the latest carousel on Myntra! Trendy styles await."/>
    <n v="3073"/>
    <n v="553"/>
    <n v="174"/>
    <n v="52241"/>
    <n v="51605"/>
    <n v="246"/>
    <x v="1"/>
    <s v="StyleRevolution"/>
    <n v="7.2739802071170159E-2"/>
  </r>
  <r>
    <x v="171"/>
    <x v="3"/>
    <d v="2024-08-14T00:00:00"/>
    <x v="3"/>
    <s v="Explore the latest carousel on Myntra! Trendy styles await."/>
    <n v="3073"/>
    <n v="553"/>
    <n v="174"/>
    <n v="52241"/>
    <n v="51605"/>
    <n v="246"/>
    <x v="2"/>
    <s v="StyleRevolution"/>
    <n v="7.2739802071170159E-2"/>
  </r>
  <r>
    <x v="172"/>
    <x v="0"/>
    <d v="2024-12-05T00:00:00"/>
    <x v="5"/>
    <s v="Explore the latest video on Myntra! Trendy styles await."/>
    <n v="1330"/>
    <n v="925"/>
    <n v="35"/>
    <n v="15960"/>
    <n v="15379"/>
    <n v="229"/>
    <x v="4"/>
    <s v="StyleRevolution"/>
    <n v="0.14348370927318296"/>
  </r>
  <r>
    <x v="172"/>
    <x v="0"/>
    <d v="2024-12-05T00:00:00"/>
    <x v="5"/>
    <s v="Explore the latest video on Myntra! Trendy styles await."/>
    <n v="1330"/>
    <n v="925"/>
    <n v="35"/>
    <n v="15960"/>
    <n v="15379"/>
    <n v="229"/>
    <x v="3"/>
    <s v="StyleRevolution"/>
    <n v="0.14348370927318296"/>
  </r>
  <r>
    <x v="173"/>
    <x v="3"/>
    <d v="2024-06-22T00:00:00"/>
    <x v="1"/>
    <s v="Explore the latest text on Myntra! Trendy styles await."/>
    <n v="3828"/>
    <n v="148"/>
    <n v="253"/>
    <n v="30624"/>
    <n v="30229"/>
    <n v="235"/>
    <x v="0"/>
    <s v="StyleRevolution"/>
    <n v="0.13809430512016718"/>
  </r>
  <r>
    <x v="173"/>
    <x v="3"/>
    <d v="2024-06-22T00:00:00"/>
    <x v="1"/>
    <s v="Explore the latest text on Myntra! Trendy styles await."/>
    <n v="3828"/>
    <n v="148"/>
    <n v="253"/>
    <n v="30624"/>
    <n v="30229"/>
    <n v="235"/>
    <x v="2"/>
    <s v="StyleRevolution"/>
    <n v="0.13809430512016718"/>
  </r>
  <r>
    <x v="174"/>
    <x v="2"/>
    <d v="2025-01-17T00:00:00"/>
    <x v="0"/>
    <s v="Explore the latest reel on Myntra! Trendy styles await."/>
    <n v="142"/>
    <n v="784"/>
    <n v="183"/>
    <n v="1704"/>
    <n v="995"/>
    <n v="154"/>
    <x v="0"/>
    <s v="FashionUpgrade"/>
    <n v="0.6508215962441315"/>
  </r>
  <r>
    <x v="175"/>
    <x v="3"/>
    <d v="2024-06-20T00:00:00"/>
    <x v="5"/>
    <s v="Explore the latest video on Myntra! Trendy styles await."/>
    <n v="3798"/>
    <n v="31"/>
    <n v="279"/>
    <n v="75960"/>
    <n v="75813"/>
    <n v="266"/>
    <x v="1"/>
    <s v="EndOfSeasonSale"/>
    <n v="5.4081095313322801E-2"/>
  </r>
  <r>
    <x v="176"/>
    <x v="2"/>
    <d v="2024-07-10T00:00:00"/>
    <x v="3"/>
    <s v="Explore the latest carousel on Myntra! Trendy styles await."/>
    <n v="3099"/>
    <n v="694"/>
    <n v="171"/>
    <n v="43386"/>
    <n v="42921"/>
    <n v="52"/>
    <x v="4"/>
    <s v="StyleRevolution"/>
    <n v="9.1365878393951966E-2"/>
  </r>
  <r>
    <x v="177"/>
    <x v="2"/>
    <d v="2024-11-07T00:00:00"/>
    <x v="5"/>
    <s v="Explore the latest video on Myntra! Trendy styles await."/>
    <n v="129"/>
    <n v="643"/>
    <n v="136"/>
    <n v="1290"/>
    <n v="839"/>
    <n v="238"/>
    <x v="2"/>
    <s v="StyleRevolution"/>
    <n v="0.70387596899224802"/>
  </r>
  <r>
    <x v="177"/>
    <x v="2"/>
    <d v="2024-11-07T00:00:00"/>
    <x v="5"/>
    <s v="Explore the latest video on Myntra! Trendy styles await."/>
    <n v="129"/>
    <n v="643"/>
    <n v="136"/>
    <n v="1290"/>
    <n v="839"/>
    <n v="238"/>
    <x v="4"/>
    <s v="StyleRevolution"/>
    <n v="0.70387596899224802"/>
  </r>
  <r>
    <x v="178"/>
    <x v="3"/>
    <d v="2024-07-15T00:00:00"/>
    <x v="3"/>
    <s v="Explore the latest carousel on Myntra! Trendy styles await."/>
    <n v="3796"/>
    <n v="667"/>
    <n v="395"/>
    <n v="64532"/>
    <n v="63550"/>
    <n v="292"/>
    <x v="2"/>
    <s v="FashionUpgrade"/>
    <n v="7.5280481001673588E-2"/>
  </r>
  <r>
    <x v="179"/>
    <x v="1"/>
    <d v="2024-12-03T00:00:00"/>
    <x v="1"/>
    <s v="Explore the latest text on Myntra! Trendy styles await."/>
    <n v="3711"/>
    <n v="352"/>
    <n v="290"/>
    <n v="48243"/>
    <n v="47579"/>
    <n v="11"/>
    <x v="2"/>
    <s v="StyleRevolution"/>
    <n v="9.023070704558174E-2"/>
  </r>
  <r>
    <x v="179"/>
    <x v="1"/>
    <d v="2024-12-03T00:00:00"/>
    <x v="1"/>
    <s v="Explore the latest text on Myntra! Trendy styles await."/>
    <n v="3711"/>
    <n v="352"/>
    <n v="290"/>
    <n v="48243"/>
    <n v="47579"/>
    <n v="11"/>
    <x v="4"/>
    <s v="StyleRevolution"/>
    <n v="9.023070704558174E-2"/>
  </r>
  <r>
    <x v="180"/>
    <x v="1"/>
    <d v="2025-03-21T00:00:00"/>
    <x v="4"/>
    <s v="Explore the latest image on Myntra! Trendy styles await."/>
    <n v="606"/>
    <n v="789"/>
    <n v="470"/>
    <n v="7878"/>
    <n v="7389"/>
    <n v="239"/>
    <x v="0"/>
    <s v="EndOfSeasonSale"/>
    <n v="0.23673521198273673"/>
  </r>
  <r>
    <x v="181"/>
    <x v="3"/>
    <d v="2024-07-31T00:00:00"/>
    <x v="4"/>
    <s v="Explore the latest image on Myntra! Trendy styles await."/>
    <n v="4689"/>
    <n v="134"/>
    <n v="403"/>
    <n v="51579"/>
    <n v="50924"/>
    <n v="173"/>
    <x v="4"/>
    <s v="FashionUpgrade"/>
    <n v="0.10132030477519921"/>
  </r>
  <r>
    <x v="182"/>
    <x v="2"/>
    <d v="2024-12-17T00:00:00"/>
    <x v="2"/>
    <s v="Explore the latest story on Myntra! Trendy styles await."/>
    <n v="360"/>
    <n v="590"/>
    <n v="393"/>
    <n v="4680"/>
    <n v="4322"/>
    <n v="208"/>
    <x v="2"/>
    <s v="EndOfSeasonSale"/>
    <n v="0.28696581196581195"/>
  </r>
  <r>
    <x v="182"/>
    <x v="2"/>
    <d v="2024-12-17T00:00:00"/>
    <x v="2"/>
    <s v="Explore the latest story on Myntra! Trendy styles await."/>
    <n v="360"/>
    <n v="590"/>
    <n v="393"/>
    <n v="4680"/>
    <n v="4322"/>
    <n v="208"/>
    <x v="4"/>
    <s v="EndOfSeasonSale"/>
    <n v="0.28696581196581195"/>
  </r>
  <r>
    <x v="183"/>
    <x v="0"/>
    <d v="2024-07-28T00:00:00"/>
    <x v="4"/>
    <s v="Explore the latest image on Myntra! Trendy styles await."/>
    <n v="3215"/>
    <n v="960"/>
    <n v="202"/>
    <n v="32150"/>
    <n v="31404"/>
    <n v="251"/>
    <x v="2"/>
    <s v="MyntraFestiveEdit"/>
    <n v="0.13614307931570763"/>
  </r>
  <r>
    <x v="184"/>
    <x v="2"/>
    <d v="2025-01-11T00:00:00"/>
    <x v="3"/>
    <s v="Explore the latest carousel on Myntra! Trendy styles await."/>
    <n v="4523"/>
    <n v="61"/>
    <n v="157"/>
    <n v="49753"/>
    <n v="49329"/>
    <n v="71"/>
    <x v="0"/>
    <s v="StyleRevolution"/>
    <n v="9.5290736237010829E-2"/>
  </r>
  <r>
    <x v="184"/>
    <x v="2"/>
    <d v="2025-01-11T00:00:00"/>
    <x v="3"/>
    <s v="Explore the latest carousel on Myntra! Trendy styles await."/>
    <n v="4523"/>
    <n v="61"/>
    <n v="157"/>
    <n v="49753"/>
    <n v="49329"/>
    <n v="71"/>
    <x v="3"/>
    <s v="StyleRevolution"/>
    <n v="9.5290736237010829E-2"/>
  </r>
  <r>
    <x v="185"/>
    <x v="3"/>
    <d v="2024-08-24T00:00:00"/>
    <x v="3"/>
    <s v="Explore the latest carousel on Myntra! Trendy styles await."/>
    <n v="4292"/>
    <n v="51"/>
    <n v="392"/>
    <n v="55796"/>
    <n v="54826"/>
    <n v="264"/>
    <x v="3"/>
    <s v="FashionUpgrade"/>
    <n v="8.4862714173059003E-2"/>
  </r>
  <r>
    <x v="185"/>
    <x v="3"/>
    <d v="2024-08-24T00:00:00"/>
    <x v="3"/>
    <s v="Explore the latest carousel on Myntra! Trendy styles await."/>
    <n v="4292"/>
    <n v="51"/>
    <n v="392"/>
    <n v="55796"/>
    <n v="54826"/>
    <n v="264"/>
    <x v="2"/>
    <s v="FashionUpgrade"/>
    <n v="8.4862714173059003E-2"/>
  </r>
  <r>
    <x v="186"/>
    <x v="0"/>
    <d v="2024-12-22T00:00:00"/>
    <x v="0"/>
    <s v="Explore the latest reel on Myntra! Trendy styles await."/>
    <n v="1644"/>
    <n v="546"/>
    <n v="150"/>
    <n v="27948"/>
    <n v="27184"/>
    <n v="300"/>
    <x v="0"/>
    <s v="FashionUpgrade"/>
    <n v="8.3726921425504502E-2"/>
  </r>
  <r>
    <x v="186"/>
    <x v="0"/>
    <d v="2024-12-22T00:00:00"/>
    <x v="0"/>
    <s v="Explore the latest reel on Myntra! Trendy styles await."/>
    <n v="1644"/>
    <n v="546"/>
    <n v="150"/>
    <n v="27948"/>
    <n v="27184"/>
    <n v="300"/>
    <x v="3"/>
    <s v="FashionUpgrade"/>
    <n v="8.3726921425504502E-2"/>
  </r>
  <r>
    <x v="187"/>
    <x v="1"/>
    <d v="2024-06-06T00:00:00"/>
    <x v="0"/>
    <s v="Explore the latest reel on Myntra! Trendy styles await."/>
    <n v="2728"/>
    <n v="533"/>
    <n v="215"/>
    <n v="40920"/>
    <n v="40816"/>
    <n v="137"/>
    <x v="0"/>
    <s v="EndOfSeasonSale"/>
    <n v="8.4946236559139784E-2"/>
  </r>
  <r>
    <x v="188"/>
    <x v="3"/>
    <d v="2025-03-24T00:00:00"/>
    <x v="0"/>
    <s v="Explore the latest reel on Myntra! Trendy styles await."/>
    <n v="3360"/>
    <n v="525"/>
    <n v="500"/>
    <n v="60480"/>
    <n v="59610"/>
    <n v="192"/>
    <x v="0"/>
    <s v="FashionUpgrade"/>
    <n v="7.2503306878306875E-2"/>
  </r>
  <r>
    <x v="188"/>
    <x v="3"/>
    <d v="2025-03-24T00:00:00"/>
    <x v="0"/>
    <s v="Explore the latest reel on Myntra! Trendy styles await."/>
    <n v="3360"/>
    <n v="525"/>
    <n v="500"/>
    <n v="60480"/>
    <n v="59610"/>
    <n v="192"/>
    <x v="2"/>
    <s v="FashionUpgrade"/>
    <n v="7.2503306878306875E-2"/>
  </r>
  <r>
    <x v="189"/>
    <x v="1"/>
    <d v="2024-10-04T00:00:00"/>
    <x v="1"/>
    <s v="Explore the latest text on Myntra! Trendy styles await."/>
    <n v="1963"/>
    <n v="213"/>
    <n v="19"/>
    <n v="39260"/>
    <n v="38771"/>
    <n v="145"/>
    <x v="2"/>
    <s v="FashionUpgrade"/>
    <n v="5.5909322465613857E-2"/>
  </r>
  <r>
    <x v="190"/>
    <x v="1"/>
    <d v="2024-12-03T00:00:00"/>
    <x v="2"/>
    <s v="Explore the latest story on Myntra! Trendy styles await."/>
    <n v="4285"/>
    <n v="886"/>
    <n v="376"/>
    <n v="55705"/>
    <n v="55556"/>
    <n v="51"/>
    <x v="1"/>
    <s v="StyleRevolution"/>
    <n v="9.9578134817341346E-2"/>
  </r>
  <r>
    <x v="190"/>
    <x v="1"/>
    <d v="2024-12-03T00:00:00"/>
    <x v="2"/>
    <s v="Explore the latest story on Myntra! Trendy styles await."/>
    <n v="4285"/>
    <n v="886"/>
    <n v="376"/>
    <n v="55705"/>
    <n v="55556"/>
    <n v="51"/>
    <x v="4"/>
    <s v="StyleRevolution"/>
    <n v="9.9578134817341346E-2"/>
  </r>
  <r>
    <x v="191"/>
    <x v="2"/>
    <d v="2024-11-29T00:00:00"/>
    <x v="5"/>
    <s v="Explore the latest video on Myntra! Trendy styles await."/>
    <n v="1176"/>
    <n v="464"/>
    <n v="394"/>
    <n v="14112"/>
    <n v="13588"/>
    <n v="272"/>
    <x v="4"/>
    <s v="FashionUpgrade"/>
    <n v="0.1441326530612245"/>
  </r>
  <r>
    <x v="192"/>
    <x v="0"/>
    <d v="2024-09-11T00:00:00"/>
    <x v="4"/>
    <s v="Explore the latest image on Myntra! Trendy styles await."/>
    <n v="4858"/>
    <n v="317"/>
    <n v="129"/>
    <n v="53438"/>
    <n v="52687"/>
    <n v="223"/>
    <x v="4"/>
    <s v="FashionUpgrade"/>
    <n v="9.9255211647142488E-2"/>
  </r>
  <r>
    <x v="192"/>
    <x v="0"/>
    <d v="2024-09-11T00:00:00"/>
    <x v="4"/>
    <s v="Explore the latest image on Myntra! Trendy styles await."/>
    <n v="4858"/>
    <n v="317"/>
    <n v="129"/>
    <n v="53438"/>
    <n v="52687"/>
    <n v="223"/>
    <x v="3"/>
    <s v="FashionUpgrade"/>
    <n v="9.9255211647142488E-2"/>
  </r>
  <r>
    <x v="193"/>
    <x v="1"/>
    <d v="2024-10-02T00:00:00"/>
    <x v="2"/>
    <s v="Explore the latest story on Myntra! Trendy styles await."/>
    <n v="4350"/>
    <n v="771"/>
    <n v="7"/>
    <n v="60900"/>
    <n v="60592"/>
    <n v="195"/>
    <x v="4"/>
    <s v="EndOfSeasonSale"/>
    <n v="8.4203612479474554E-2"/>
  </r>
  <r>
    <x v="193"/>
    <x v="1"/>
    <d v="2024-10-02T00:00:00"/>
    <x v="2"/>
    <s v="Explore the latest story on Myntra! Trendy styles await."/>
    <n v="4350"/>
    <n v="771"/>
    <n v="7"/>
    <n v="60900"/>
    <n v="60592"/>
    <n v="195"/>
    <x v="2"/>
    <s v="EndOfSeasonSale"/>
    <n v="8.4203612479474554E-2"/>
  </r>
  <r>
    <x v="194"/>
    <x v="2"/>
    <d v="2024-08-15T00:00:00"/>
    <x v="3"/>
    <s v="Explore the latest carousel on Myntra! Trendy styles await."/>
    <n v="914"/>
    <n v="464"/>
    <n v="246"/>
    <n v="11882"/>
    <n v="11500"/>
    <n v="282"/>
    <x v="1"/>
    <s v="MyntraFestiveEdit"/>
    <n v="0.13667732704931829"/>
  </r>
  <r>
    <x v="194"/>
    <x v="2"/>
    <d v="2024-08-15T00:00:00"/>
    <x v="3"/>
    <s v="Explore the latest carousel on Myntra! Trendy styles await."/>
    <n v="914"/>
    <n v="464"/>
    <n v="246"/>
    <n v="11882"/>
    <n v="11500"/>
    <n v="282"/>
    <x v="3"/>
    <s v="MyntraFestiveEdit"/>
    <n v="0.13667732704931829"/>
  </r>
  <r>
    <x v="195"/>
    <x v="2"/>
    <d v="2024-12-19T00:00:00"/>
    <x v="1"/>
    <s v="Explore the latest text on Myntra! Trendy styles await."/>
    <n v="1813"/>
    <n v="623"/>
    <n v="72"/>
    <n v="19943"/>
    <n v="18959"/>
    <n v="85"/>
    <x v="3"/>
    <s v="MyntraFestiveEdit"/>
    <n v="0.12575841147269717"/>
  </r>
  <r>
    <x v="195"/>
    <x v="2"/>
    <d v="2024-12-19T00:00:00"/>
    <x v="1"/>
    <s v="Explore the latest text on Myntra! Trendy styles await."/>
    <n v="1813"/>
    <n v="623"/>
    <n v="72"/>
    <n v="19943"/>
    <n v="18959"/>
    <n v="85"/>
    <x v="1"/>
    <s v="MyntraFestiveEdit"/>
    <n v="0.12575841147269717"/>
  </r>
  <r>
    <x v="196"/>
    <x v="0"/>
    <d v="2024-10-22T00:00:00"/>
    <x v="0"/>
    <s v="Explore the latest reel on Myntra! Trendy styles await."/>
    <n v="4782"/>
    <n v="721"/>
    <n v="82"/>
    <n v="86076"/>
    <n v="85339"/>
    <n v="19"/>
    <x v="4"/>
    <s v="EndOfSeasonSale"/>
    <n v="6.4884520656164318E-2"/>
  </r>
  <r>
    <x v="197"/>
    <x v="0"/>
    <d v="2024-09-14T00:00:00"/>
    <x v="4"/>
    <s v="Explore the latest image on Myntra! Trendy styles await."/>
    <n v="1048"/>
    <n v="374"/>
    <n v="450"/>
    <n v="9432"/>
    <n v="8882"/>
    <n v="158"/>
    <x v="3"/>
    <s v="EndOfSeasonSale"/>
    <n v="0.19847328244274809"/>
  </r>
  <r>
    <x v="197"/>
    <x v="0"/>
    <d v="2024-09-14T00:00:00"/>
    <x v="4"/>
    <s v="Explore the latest image on Myntra! Trendy styles await."/>
    <n v="1048"/>
    <n v="374"/>
    <n v="450"/>
    <n v="9432"/>
    <n v="8882"/>
    <n v="158"/>
    <x v="0"/>
    <s v="EndOfSeasonSale"/>
    <n v="0.19847328244274809"/>
  </r>
  <r>
    <x v="198"/>
    <x v="1"/>
    <d v="2024-11-30T00:00:00"/>
    <x v="3"/>
    <s v="Explore the latest carousel on Myntra! Trendy styles await."/>
    <n v="2509"/>
    <n v="324"/>
    <n v="171"/>
    <n v="35126"/>
    <n v="34685"/>
    <n v="277"/>
    <x v="4"/>
    <s v="EndOfSeasonSale"/>
    <n v="8.5520696919660646E-2"/>
  </r>
  <r>
    <x v="199"/>
    <x v="3"/>
    <d v="2025-04-07T00:00:00"/>
    <x v="0"/>
    <s v="Explore the latest reel on Myntra! Trendy styles await."/>
    <n v="3718"/>
    <n v="385"/>
    <n v="310"/>
    <n v="70642"/>
    <n v="69749"/>
    <n v="233"/>
    <x v="3"/>
    <s v="FashionUpgrade"/>
    <n v="6.246991874522239E-2"/>
  </r>
  <r>
    <x v="200"/>
    <x v="0"/>
    <d v="2025-01-15T00:00:00"/>
    <x v="0"/>
    <s v="Explore the latest reel on Myntra! Trendy styles await."/>
    <n v="802"/>
    <n v="262"/>
    <n v="244"/>
    <n v="14436"/>
    <n v="14280"/>
    <n v="49"/>
    <x v="0"/>
    <s v="StyleRevolution"/>
    <n v="9.0606816292601824E-2"/>
  </r>
  <r>
    <x v="200"/>
    <x v="0"/>
    <d v="2025-01-15T00:00:00"/>
    <x v="0"/>
    <s v="Explore the latest reel on Myntra! Trendy styles await."/>
    <n v="802"/>
    <n v="262"/>
    <n v="244"/>
    <n v="14436"/>
    <n v="14280"/>
    <n v="49"/>
    <x v="4"/>
    <s v="StyleRevolution"/>
    <n v="9.0606816292601824E-2"/>
  </r>
  <r>
    <x v="201"/>
    <x v="3"/>
    <d v="2024-06-02T00:00:00"/>
    <x v="4"/>
    <s v="Explore the latest image on Myntra! Trendy styles await."/>
    <n v="1871"/>
    <n v="252"/>
    <n v="335"/>
    <n v="29936"/>
    <n v="29576"/>
    <n v="288"/>
    <x v="3"/>
    <s v="EndOfSeasonSale"/>
    <n v="8.2108498129342594E-2"/>
  </r>
  <r>
    <x v="202"/>
    <x v="2"/>
    <d v="2024-11-21T00:00:00"/>
    <x v="3"/>
    <s v="Explore the latest carousel on Myntra! Trendy styles await."/>
    <n v="3773"/>
    <n v="299"/>
    <n v="38"/>
    <n v="71687"/>
    <n v="71447"/>
    <n v="286"/>
    <x v="3"/>
    <s v="StyleRevolution"/>
    <n v="5.7332570758993957E-2"/>
  </r>
  <r>
    <x v="203"/>
    <x v="2"/>
    <d v="2025-01-01T00:00:00"/>
    <x v="3"/>
    <s v="Explore the latest carousel on Myntra! Trendy styles await."/>
    <n v="2234"/>
    <n v="653"/>
    <n v="432"/>
    <n v="11170"/>
    <n v="10569"/>
    <n v="198"/>
    <x v="4"/>
    <s v="StyleRevolution"/>
    <n v="0.29713518352730528"/>
  </r>
  <r>
    <x v="203"/>
    <x v="2"/>
    <d v="2025-01-01T00:00:00"/>
    <x v="3"/>
    <s v="Explore the latest carousel on Myntra! Trendy styles await."/>
    <n v="2234"/>
    <n v="653"/>
    <n v="432"/>
    <n v="11170"/>
    <n v="10569"/>
    <n v="198"/>
    <x v="2"/>
    <s v="StyleRevolution"/>
    <n v="0.29713518352730528"/>
  </r>
  <r>
    <x v="204"/>
    <x v="0"/>
    <d v="2025-04-24T00:00:00"/>
    <x v="5"/>
    <s v="Explore the latest video on Myntra! Trendy styles await."/>
    <n v="3820"/>
    <n v="697"/>
    <n v="268"/>
    <n v="45840"/>
    <n v="45631"/>
    <n v="171"/>
    <x v="2"/>
    <s v="FashionUpgrade"/>
    <n v="0.1043848167539267"/>
  </r>
  <r>
    <x v="204"/>
    <x v="0"/>
    <d v="2025-04-24T00:00:00"/>
    <x v="5"/>
    <s v="Explore the latest video on Myntra! Trendy styles await."/>
    <n v="3820"/>
    <n v="697"/>
    <n v="268"/>
    <n v="45840"/>
    <n v="45631"/>
    <n v="171"/>
    <x v="4"/>
    <s v="FashionUpgrade"/>
    <n v="0.1043848167539267"/>
  </r>
  <r>
    <x v="205"/>
    <x v="0"/>
    <d v="2024-06-24T00:00:00"/>
    <x v="1"/>
    <s v="Explore the latest text on Myntra! Trendy styles await."/>
    <n v="941"/>
    <n v="121"/>
    <n v="458"/>
    <n v="14115"/>
    <n v="13838"/>
    <n v="87"/>
    <x v="1"/>
    <s v="EndOfSeasonSale"/>
    <n v="0.10768685795253277"/>
  </r>
  <r>
    <x v="205"/>
    <x v="0"/>
    <d v="2024-06-24T00:00:00"/>
    <x v="1"/>
    <s v="Explore the latest text on Myntra! Trendy styles await."/>
    <n v="941"/>
    <n v="121"/>
    <n v="458"/>
    <n v="14115"/>
    <n v="13838"/>
    <n v="87"/>
    <x v="0"/>
    <s v="EndOfSeasonSale"/>
    <n v="0.10768685795253277"/>
  </r>
  <r>
    <x v="206"/>
    <x v="0"/>
    <d v="2024-12-29T00:00:00"/>
    <x v="3"/>
    <s v="Explore the latest carousel on Myntra! Trendy styles await."/>
    <n v="4274"/>
    <n v="340"/>
    <n v="281"/>
    <n v="34192"/>
    <n v="33446"/>
    <n v="129"/>
    <x v="2"/>
    <s v="MyntraFestiveEdit"/>
    <n v="0.14316214319138981"/>
  </r>
  <r>
    <x v="206"/>
    <x v="0"/>
    <d v="2024-12-29T00:00:00"/>
    <x v="3"/>
    <s v="Explore the latest carousel on Myntra! Trendy styles await."/>
    <n v="4274"/>
    <n v="340"/>
    <n v="281"/>
    <n v="34192"/>
    <n v="33446"/>
    <n v="129"/>
    <x v="4"/>
    <s v="MyntraFestiveEdit"/>
    <n v="0.14316214319138981"/>
  </r>
  <r>
    <x v="207"/>
    <x v="1"/>
    <d v="2024-06-24T00:00:00"/>
    <x v="5"/>
    <s v="Explore the latest video on Myntra! Trendy styles await."/>
    <n v="2949"/>
    <n v="476"/>
    <n v="403"/>
    <n v="44235"/>
    <n v="43705"/>
    <n v="135"/>
    <x v="3"/>
    <s v="FashionUpgrade"/>
    <n v="8.6537809426924378E-2"/>
  </r>
  <r>
    <x v="207"/>
    <x v="1"/>
    <d v="2024-06-24T00:00:00"/>
    <x v="5"/>
    <s v="Explore the latest video on Myntra! Trendy styles await."/>
    <n v="2949"/>
    <n v="476"/>
    <n v="403"/>
    <n v="44235"/>
    <n v="43705"/>
    <n v="135"/>
    <x v="4"/>
    <s v="FashionUpgrade"/>
    <n v="8.6537809426924378E-2"/>
  </r>
  <r>
    <x v="208"/>
    <x v="0"/>
    <d v="2025-03-19T00:00:00"/>
    <x v="5"/>
    <s v="Explore the latest video on Myntra! Trendy styles await."/>
    <n v="3160"/>
    <n v="204"/>
    <n v="297"/>
    <n v="44240"/>
    <n v="43666"/>
    <n v="49"/>
    <x v="2"/>
    <s v="FashionUpgrade"/>
    <n v="8.2753164556962022E-2"/>
  </r>
  <r>
    <x v="208"/>
    <x v="0"/>
    <d v="2025-03-19T00:00:00"/>
    <x v="5"/>
    <s v="Explore the latest video on Myntra! Trendy styles await."/>
    <n v="3160"/>
    <n v="204"/>
    <n v="297"/>
    <n v="44240"/>
    <n v="43666"/>
    <n v="49"/>
    <x v="3"/>
    <s v="FashionUpgrade"/>
    <n v="8.2753164556962022E-2"/>
  </r>
  <r>
    <x v="209"/>
    <x v="1"/>
    <d v="2025-02-19T00:00:00"/>
    <x v="4"/>
    <s v="Explore the latest image on Myntra! Trendy styles await."/>
    <n v="257"/>
    <n v="966"/>
    <n v="398"/>
    <n v="3341"/>
    <n v="2753"/>
    <n v="287"/>
    <x v="3"/>
    <s v="FashionUpgrade"/>
    <n v="0.48518407662376534"/>
  </r>
  <r>
    <x v="209"/>
    <x v="1"/>
    <d v="2025-02-19T00:00:00"/>
    <x v="4"/>
    <s v="Explore the latest image on Myntra! Trendy styles await."/>
    <n v="257"/>
    <n v="966"/>
    <n v="398"/>
    <n v="3341"/>
    <n v="2753"/>
    <n v="287"/>
    <x v="0"/>
    <s v="FashionUpgrade"/>
    <n v="0.48518407662376534"/>
  </r>
  <r>
    <x v="210"/>
    <x v="0"/>
    <d v="2024-07-18T00:00:00"/>
    <x v="3"/>
    <s v="Explore the latest carousel on Myntra! Trendy styles await."/>
    <n v="2120"/>
    <n v="38"/>
    <n v="212"/>
    <n v="12720"/>
    <n v="12564"/>
    <n v="21"/>
    <x v="3"/>
    <s v="FashionUpgrade"/>
    <n v="0.18632075471698112"/>
  </r>
  <r>
    <x v="210"/>
    <x v="0"/>
    <d v="2024-07-18T00:00:00"/>
    <x v="3"/>
    <s v="Explore the latest carousel on Myntra! Trendy styles await."/>
    <n v="2120"/>
    <n v="38"/>
    <n v="212"/>
    <n v="12720"/>
    <n v="12564"/>
    <n v="21"/>
    <x v="0"/>
    <s v="FashionUpgrade"/>
    <n v="0.18632075471698112"/>
  </r>
  <r>
    <x v="211"/>
    <x v="1"/>
    <d v="2025-03-03T00:00:00"/>
    <x v="5"/>
    <s v="Explore the latest video on Myntra! Trendy styles await."/>
    <n v="3874"/>
    <n v="884"/>
    <n v="19"/>
    <n v="38740"/>
    <n v="38552"/>
    <n v="219"/>
    <x v="2"/>
    <s v="StyleRevolution"/>
    <n v="0.123309241094476"/>
  </r>
  <r>
    <x v="212"/>
    <x v="3"/>
    <d v="2025-05-01T00:00:00"/>
    <x v="3"/>
    <s v="Explore the latest carousel on Myntra! Trendy styles await."/>
    <n v="2696"/>
    <n v="628"/>
    <n v="443"/>
    <n v="45832"/>
    <n v="45632"/>
    <n v="248"/>
    <x v="0"/>
    <s v="MyntraFestiveEdit"/>
    <n v="8.21914819340199E-2"/>
  </r>
  <r>
    <x v="213"/>
    <x v="2"/>
    <d v="2024-12-23T00:00:00"/>
    <x v="4"/>
    <s v="Explore the latest image on Myntra! Trendy styles await."/>
    <n v="521"/>
    <n v="746"/>
    <n v="315"/>
    <n v="4168"/>
    <n v="3399"/>
    <n v="282"/>
    <x v="0"/>
    <s v="FashionUpgrade"/>
    <n v="0.37955854126679461"/>
  </r>
  <r>
    <x v="214"/>
    <x v="3"/>
    <d v="2025-05-06T00:00:00"/>
    <x v="4"/>
    <s v="Explore the latest image on Myntra! Trendy styles await."/>
    <n v="4872"/>
    <n v="925"/>
    <n v="176"/>
    <n v="82824"/>
    <n v="82543"/>
    <n v="89"/>
    <x v="0"/>
    <s v="FashionUpgrade"/>
    <n v="7.2116777745580993E-2"/>
  </r>
  <r>
    <x v="214"/>
    <x v="3"/>
    <d v="2025-05-06T00:00:00"/>
    <x v="4"/>
    <s v="Explore the latest image on Myntra! Trendy styles await."/>
    <n v="4872"/>
    <n v="925"/>
    <n v="176"/>
    <n v="82824"/>
    <n v="82543"/>
    <n v="89"/>
    <x v="3"/>
    <s v="FashionUpgrade"/>
    <n v="7.2116777745580993E-2"/>
  </r>
  <r>
    <x v="215"/>
    <x v="1"/>
    <d v="2024-07-29T00:00:00"/>
    <x v="2"/>
    <s v="Explore the latest story on Myntra! Trendy styles await."/>
    <n v="1509"/>
    <n v="88"/>
    <n v="163"/>
    <n v="30180"/>
    <n v="29689"/>
    <n v="119"/>
    <x v="3"/>
    <s v="FashionUpgrade"/>
    <n v="5.8316766070245198E-2"/>
  </r>
  <r>
    <x v="216"/>
    <x v="3"/>
    <d v="2024-12-03T00:00:00"/>
    <x v="4"/>
    <s v="Explore the latest image on Myntra! Trendy styles await."/>
    <n v="4606"/>
    <n v="931"/>
    <n v="230"/>
    <n v="92120"/>
    <n v="91440"/>
    <n v="56"/>
    <x v="4"/>
    <s v="MyntraFestiveEdit"/>
    <n v="6.2603126356925748E-2"/>
  </r>
  <r>
    <x v="216"/>
    <x v="3"/>
    <d v="2024-12-03T00:00:00"/>
    <x v="4"/>
    <s v="Explore the latest image on Myntra! Trendy styles await."/>
    <n v="4606"/>
    <n v="931"/>
    <n v="230"/>
    <n v="92120"/>
    <n v="91440"/>
    <n v="56"/>
    <x v="1"/>
    <s v="MyntraFestiveEdit"/>
    <n v="6.2603126356925748E-2"/>
  </r>
  <r>
    <x v="217"/>
    <x v="3"/>
    <d v="2024-06-11T00:00:00"/>
    <x v="3"/>
    <s v="Explore the latest carousel on Myntra! Trendy styles await."/>
    <n v="1869"/>
    <n v="453"/>
    <n v="490"/>
    <n v="14952"/>
    <n v="14309"/>
    <n v="275"/>
    <x v="4"/>
    <s v="FashionUpgrade"/>
    <n v="0.18806848582129482"/>
  </r>
  <r>
    <x v="217"/>
    <x v="3"/>
    <d v="2024-06-11T00:00:00"/>
    <x v="3"/>
    <s v="Explore the latest carousel on Myntra! Trendy styles await."/>
    <n v="1869"/>
    <n v="453"/>
    <n v="490"/>
    <n v="14952"/>
    <n v="14309"/>
    <n v="275"/>
    <x v="2"/>
    <s v="FashionUpgrade"/>
    <n v="0.18806848582129482"/>
  </r>
  <r>
    <x v="218"/>
    <x v="0"/>
    <d v="2025-01-28T00:00:00"/>
    <x v="0"/>
    <s v="Explore the latest reel on Myntra! Trendy styles await."/>
    <n v="1188"/>
    <n v="470"/>
    <n v="174"/>
    <n v="7128"/>
    <n v="6145"/>
    <n v="270"/>
    <x v="2"/>
    <s v="EndOfSeasonSale"/>
    <n v="0.25701459034792368"/>
  </r>
  <r>
    <x v="218"/>
    <x v="0"/>
    <d v="2025-01-28T00:00:00"/>
    <x v="0"/>
    <s v="Explore the latest reel on Myntra! Trendy styles await."/>
    <n v="1188"/>
    <n v="470"/>
    <n v="174"/>
    <n v="7128"/>
    <n v="6145"/>
    <n v="270"/>
    <x v="1"/>
    <s v="EndOfSeasonSale"/>
    <n v="0.25701459034792368"/>
  </r>
  <r>
    <x v="219"/>
    <x v="2"/>
    <d v="2024-06-02T00:00:00"/>
    <x v="2"/>
    <s v="Explore the latest story on Myntra! Trendy styles await."/>
    <n v="84"/>
    <n v="897"/>
    <n v="85"/>
    <n v="588"/>
    <n v="8"/>
    <n v="12"/>
    <x v="2"/>
    <s v="EndOfSeasonSale"/>
    <n v="1.8129251700680271"/>
  </r>
  <r>
    <x v="220"/>
    <x v="3"/>
    <d v="2025-03-23T00:00:00"/>
    <x v="5"/>
    <s v="Explore the latest video on Myntra! Trendy styles await."/>
    <n v="4453"/>
    <n v="111"/>
    <n v="420"/>
    <n v="31171"/>
    <n v="30565"/>
    <n v="23"/>
    <x v="3"/>
    <s v="StyleRevolution"/>
    <n v="0.15989220750056141"/>
  </r>
  <r>
    <x v="220"/>
    <x v="3"/>
    <d v="2025-03-23T00:00:00"/>
    <x v="5"/>
    <s v="Explore the latest video on Myntra! Trendy styles await."/>
    <n v="4453"/>
    <n v="111"/>
    <n v="420"/>
    <n v="31171"/>
    <n v="30565"/>
    <n v="23"/>
    <x v="1"/>
    <s v="StyleRevolution"/>
    <n v="0.15989220750056141"/>
  </r>
  <r>
    <x v="221"/>
    <x v="3"/>
    <d v="2024-10-08T00:00:00"/>
    <x v="0"/>
    <s v="Explore the latest reel on Myntra! Trendy styles await."/>
    <n v="1814"/>
    <n v="653"/>
    <n v="363"/>
    <n v="25396"/>
    <n v="25286"/>
    <n v="39"/>
    <x v="2"/>
    <s v="FashionUpgrade"/>
    <n v="0.11143487163332809"/>
  </r>
  <r>
    <x v="222"/>
    <x v="0"/>
    <d v="2024-11-12T00:00:00"/>
    <x v="4"/>
    <s v="Explore the latest image on Myntra! Trendy styles await."/>
    <n v="3338"/>
    <n v="277"/>
    <n v="118"/>
    <n v="60084"/>
    <n v="59842"/>
    <n v="252"/>
    <x v="2"/>
    <s v="FashionUpgrade"/>
    <n v="6.2129685107516146E-2"/>
  </r>
  <r>
    <x v="223"/>
    <x v="3"/>
    <d v="2025-05-13T00:00:00"/>
    <x v="4"/>
    <s v="Explore the latest image on Myntra! Trendy styles await."/>
    <n v="602"/>
    <n v="594"/>
    <n v="156"/>
    <n v="4214"/>
    <n v="3363"/>
    <n v="164"/>
    <x v="0"/>
    <s v="MyntraFestiveEdit"/>
    <n v="0.32083531086853345"/>
  </r>
  <r>
    <x v="224"/>
    <x v="0"/>
    <d v="2024-06-20T00:00:00"/>
    <x v="3"/>
    <s v="Explore the latest carousel on Myntra! Trendy styles await."/>
    <n v="4672"/>
    <n v="325"/>
    <n v="32"/>
    <n v="88768"/>
    <n v="87833"/>
    <n v="118"/>
    <x v="4"/>
    <s v="MyntraFestiveEdit"/>
    <n v="5.6653298485940883E-2"/>
  </r>
  <r>
    <x v="224"/>
    <x v="0"/>
    <d v="2024-06-20T00:00:00"/>
    <x v="3"/>
    <s v="Explore the latest carousel on Myntra! Trendy styles await."/>
    <n v="4672"/>
    <n v="325"/>
    <n v="32"/>
    <n v="88768"/>
    <n v="87833"/>
    <n v="118"/>
    <x v="0"/>
    <s v="MyntraFestiveEdit"/>
    <n v="5.6653298485940883E-2"/>
  </r>
  <r>
    <x v="225"/>
    <x v="2"/>
    <d v="2024-08-07T00:00:00"/>
    <x v="3"/>
    <s v="Explore the latest carousel on Myntra! Trendy styles await."/>
    <n v="1741"/>
    <n v="164"/>
    <n v="318"/>
    <n v="8705"/>
    <n v="8272"/>
    <n v="121"/>
    <x v="0"/>
    <s v="EndOfSeasonSale"/>
    <n v="0.25537047673750718"/>
  </r>
  <r>
    <x v="226"/>
    <x v="2"/>
    <d v="2024-06-12T00:00:00"/>
    <x v="1"/>
    <s v="Explore the latest text on Myntra! Trendy styles await."/>
    <n v="246"/>
    <n v="149"/>
    <n v="130"/>
    <n v="4674"/>
    <n v="4390"/>
    <n v="217"/>
    <x v="3"/>
    <s v="EndOfSeasonSale"/>
    <n v="0.11232349165596919"/>
  </r>
  <r>
    <x v="226"/>
    <x v="2"/>
    <d v="2024-06-12T00:00:00"/>
    <x v="1"/>
    <s v="Explore the latest text on Myntra! Trendy styles await."/>
    <n v="246"/>
    <n v="149"/>
    <n v="130"/>
    <n v="4674"/>
    <n v="4390"/>
    <n v="217"/>
    <x v="4"/>
    <s v="EndOfSeasonSale"/>
    <n v="0.11232349165596919"/>
  </r>
  <r>
    <x v="227"/>
    <x v="2"/>
    <d v="2024-07-01T00:00:00"/>
    <x v="2"/>
    <s v="Explore the latest story on Myntra! Trendy styles await."/>
    <n v="4808"/>
    <n v="772"/>
    <n v="320"/>
    <n v="72120"/>
    <n v="71696"/>
    <n v="195"/>
    <x v="3"/>
    <s v="StyleRevolution"/>
    <n v="8.1808097615085965E-2"/>
  </r>
  <r>
    <x v="227"/>
    <x v="2"/>
    <d v="2024-07-01T00:00:00"/>
    <x v="2"/>
    <s v="Explore the latest story on Myntra! Trendy styles await."/>
    <n v="4808"/>
    <n v="772"/>
    <n v="320"/>
    <n v="72120"/>
    <n v="71696"/>
    <n v="195"/>
    <x v="0"/>
    <s v="StyleRevolution"/>
    <n v="8.1808097615085965E-2"/>
  </r>
  <r>
    <x v="228"/>
    <x v="2"/>
    <d v="2024-07-03T00:00:00"/>
    <x v="3"/>
    <s v="Explore the latest carousel on Myntra! Trendy styles await."/>
    <n v="4799"/>
    <n v="694"/>
    <n v="289"/>
    <n v="43191"/>
    <n v="42228"/>
    <n v="118"/>
    <x v="3"/>
    <s v="EndOfSeasonSale"/>
    <n v="0.13387048227640017"/>
  </r>
  <r>
    <x v="229"/>
    <x v="3"/>
    <d v="2024-07-15T00:00:00"/>
    <x v="0"/>
    <s v="Explore the latest reel on Myntra! Trendy styles await."/>
    <n v="3663"/>
    <n v="17"/>
    <n v="295"/>
    <n v="51282"/>
    <n v="50567"/>
    <n v="84"/>
    <x v="0"/>
    <s v="FashionUpgrade"/>
    <n v="7.7512577512577507E-2"/>
  </r>
  <r>
    <x v="230"/>
    <x v="2"/>
    <d v="2025-05-01T00:00:00"/>
    <x v="1"/>
    <s v="Explore the latest text on Myntra! Trendy styles await."/>
    <n v="1430"/>
    <n v="376"/>
    <n v="33"/>
    <n v="21450"/>
    <n v="20509"/>
    <n v="251"/>
    <x v="4"/>
    <s v="MyntraFestiveEdit"/>
    <n v="8.5734265734265735E-2"/>
  </r>
  <r>
    <x v="231"/>
    <x v="0"/>
    <d v="2025-04-29T00:00:00"/>
    <x v="2"/>
    <s v="Explore the latest story on Myntra! Trendy styles await."/>
    <n v="249"/>
    <n v="592"/>
    <n v="230"/>
    <n v="1494"/>
    <n v="1044"/>
    <n v="201"/>
    <x v="1"/>
    <s v="StyleRevolution"/>
    <n v="0.7168674698795181"/>
  </r>
  <r>
    <x v="231"/>
    <x v="0"/>
    <d v="2025-04-29T00:00:00"/>
    <x v="2"/>
    <s v="Explore the latest story on Myntra! Trendy styles await."/>
    <n v="249"/>
    <n v="592"/>
    <n v="230"/>
    <n v="1494"/>
    <n v="1044"/>
    <n v="201"/>
    <x v="3"/>
    <s v="StyleRevolution"/>
    <n v="0.7168674698795181"/>
  </r>
  <r>
    <x v="232"/>
    <x v="3"/>
    <d v="2025-03-08T00:00:00"/>
    <x v="4"/>
    <s v="Explore the latest image on Myntra! Trendy styles await."/>
    <n v="2382"/>
    <n v="265"/>
    <n v="134"/>
    <n v="38112"/>
    <n v="37437"/>
    <n v="249"/>
    <x v="4"/>
    <s v="EndOfSeasonSale"/>
    <n v="7.2969143576826198E-2"/>
  </r>
  <r>
    <x v="232"/>
    <x v="3"/>
    <d v="2025-03-08T00:00:00"/>
    <x v="4"/>
    <s v="Explore the latest image on Myntra! Trendy styles await."/>
    <n v="2382"/>
    <n v="265"/>
    <n v="134"/>
    <n v="38112"/>
    <n v="37437"/>
    <n v="249"/>
    <x v="3"/>
    <s v="EndOfSeasonSale"/>
    <n v="7.2969143576826198E-2"/>
  </r>
  <r>
    <x v="233"/>
    <x v="3"/>
    <d v="2024-06-01T00:00:00"/>
    <x v="1"/>
    <s v="Explore the latest text on Myntra! Trendy styles await."/>
    <n v="1272"/>
    <n v="465"/>
    <n v="99"/>
    <n v="24168"/>
    <n v="23719"/>
    <n v="42"/>
    <x v="1"/>
    <s v="EndOfSeasonSale"/>
    <n v="7.5968222442899705E-2"/>
  </r>
  <r>
    <x v="233"/>
    <x v="3"/>
    <d v="2024-06-01T00:00:00"/>
    <x v="1"/>
    <s v="Explore the latest text on Myntra! Trendy styles await."/>
    <n v="1272"/>
    <n v="465"/>
    <n v="99"/>
    <n v="24168"/>
    <n v="23719"/>
    <n v="42"/>
    <x v="4"/>
    <s v="EndOfSeasonSale"/>
    <n v="7.5968222442899705E-2"/>
  </r>
  <r>
    <x v="234"/>
    <x v="3"/>
    <d v="2024-12-22T00:00:00"/>
    <x v="4"/>
    <s v="Explore the latest image on Myntra! Trendy styles await."/>
    <n v="3196"/>
    <n v="941"/>
    <n v="376"/>
    <n v="35156"/>
    <n v="34444"/>
    <n v="241"/>
    <x v="2"/>
    <s v="StyleRevolution"/>
    <n v="0.1283706906360223"/>
  </r>
  <r>
    <x v="234"/>
    <x v="3"/>
    <d v="2024-12-22T00:00:00"/>
    <x v="4"/>
    <s v="Explore the latest image on Myntra! Trendy styles await."/>
    <n v="3196"/>
    <n v="941"/>
    <n v="376"/>
    <n v="35156"/>
    <n v="34444"/>
    <n v="241"/>
    <x v="3"/>
    <s v="StyleRevolution"/>
    <n v="0.1283706906360223"/>
  </r>
  <r>
    <x v="235"/>
    <x v="3"/>
    <d v="2024-08-19T00:00:00"/>
    <x v="1"/>
    <s v="Explore the latest text on Myntra! Trendy styles await."/>
    <n v="1257"/>
    <n v="19"/>
    <n v="351"/>
    <n v="12570"/>
    <n v="11660"/>
    <n v="194"/>
    <x v="2"/>
    <s v="FashionUpgrade"/>
    <n v="0.12943516308671441"/>
  </r>
  <r>
    <x v="236"/>
    <x v="2"/>
    <d v="2024-10-22T00:00:00"/>
    <x v="2"/>
    <s v="Explore the latest story on Myntra! Trendy styles await."/>
    <n v="3770"/>
    <n v="917"/>
    <n v="129"/>
    <n v="71630"/>
    <n v="71322"/>
    <n v="76"/>
    <x v="0"/>
    <s v="StyleRevolution"/>
    <n v="6.7234398994834563E-2"/>
  </r>
  <r>
    <x v="236"/>
    <x v="2"/>
    <d v="2024-10-22T00:00:00"/>
    <x v="2"/>
    <s v="Explore the latest story on Myntra! Trendy styles await."/>
    <n v="3770"/>
    <n v="917"/>
    <n v="129"/>
    <n v="71630"/>
    <n v="71322"/>
    <n v="76"/>
    <x v="3"/>
    <s v="StyleRevolution"/>
    <n v="6.7234398994834563E-2"/>
  </r>
  <r>
    <x v="237"/>
    <x v="0"/>
    <d v="2024-07-16T00:00:00"/>
    <x v="1"/>
    <s v="Explore the latest text on Myntra! Trendy styles await."/>
    <n v="4725"/>
    <n v="400"/>
    <n v="362"/>
    <n v="75600"/>
    <n v="74927"/>
    <n v="43"/>
    <x v="3"/>
    <s v="FashionUpgrade"/>
    <n v="7.2579365079365077E-2"/>
  </r>
  <r>
    <x v="237"/>
    <x v="0"/>
    <d v="2024-07-16T00:00:00"/>
    <x v="1"/>
    <s v="Explore the latest text on Myntra! Trendy styles await."/>
    <n v="4725"/>
    <n v="400"/>
    <n v="362"/>
    <n v="75600"/>
    <n v="74927"/>
    <n v="43"/>
    <x v="1"/>
    <s v="FashionUpgrade"/>
    <n v="7.2579365079365077E-2"/>
  </r>
  <r>
    <x v="238"/>
    <x v="1"/>
    <d v="2025-02-24T00:00:00"/>
    <x v="1"/>
    <s v="Explore the latest text on Myntra! Trendy styles await."/>
    <n v="4188"/>
    <n v="942"/>
    <n v="118"/>
    <n v="20940"/>
    <n v="20471"/>
    <n v="102"/>
    <x v="2"/>
    <s v="EndOfSeasonSale"/>
    <n v="0.25062082139446035"/>
  </r>
  <r>
    <x v="239"/>
    <x v="0"/>
    <d v="2024-08-26T00:00:00"/>
    <x v="3"/>
    <s v="Explore the latest carousel on Myntra! Trendy styles await."/>
    <n v="929"/>
    <n v="192"/>
    <n v="322"/>
    <n v="16722"/>
    <n v="15996"/>
    <n v="145"/>
    <x v="1"/>
    <s v="MyntraFestiveEdit"/>
    <n v="8.6293505561535699E-2"/>
  </r>
  <r>
    <x v="240"/>
    <x v="3"/>
    <d v="2025-01-18T00:00:00"/>
    <x v="2"/>
    <s v="Explore the latest story on Myntra! Trendy styles await."/>
    <n v="4321"/>
    <n v="874"/>
    <n v="172"/>
    <n v="30247"/>
    <n v="29254"/>
    <n v="122"/>
    <x v="0"/>
    <s v="MyntraFestiveEdit"/>
    <n v="0.17743908486792079"/>
  </r>
  <r>
    <x v="240"/>
    <x v="3"/>
    <d v="2025-01-18T00:00:00"/>
    <x v="2"/>
    <s v="Explore the latest story on Myntra! Trendy styles await."/>
    <n v="4321"/>
    <n v="874"/>
    <n v="172"/>
    <n v="30247"/>
    <n v="29254"/>
    <n v="122"/>
    <x v="1"/>
    <s v="MyntraFestiveEdit"/>
    <n v="0.17743908486792079"/>
  </r>
  <r>
    <x v="241"/>
    <x v="3"/>
    <d v="2024-07-07T00:00:00"/>
    <x v="0"/>
    <s v="Explore the latest reel on Myntra! Trendy styles await."/>
    <n v="4767"/>
    <n v="190"/>
    <n v="340"/>
    <n v="28602"/>
    <n v="28044"/>
    <n v="210"/>
    <x v="4"/>
    <s v="StyleRevolution"/>
    <n v="0.18519683938186141"/>
  </r>
  <r>
    <x v="242"/>
    <x v="0"/>
    <d v="2025-03-06T00:00:00"/>
    <x v="4"/>
    <s v="Explore the latest image on Myntra! Trendy styles await."/>
    <n v="3592"/>
    <n v="911"/>
    <n v="375"/>
    <n v="50288"/>
    <n v="49490"/>
    <n v="32"/>
    <x v="2"/>
    <s v="EndOfSeasonSale"/>
    <n v="9.7001272669424113E-2"/>
  </r>
  <r>
    <x v="243"/>
    <x v="1"/>
    <d v="2024-10-25T00:00:00"/>
    <x v="5"/>
    <s v="Explore the latest video on Myntra! Trendy styles await."/>
    <n v="4661"/>
    <n v="935"/>
    <n v="433"/>
    <n v="23305"/>
    <n v="22583"/>
    <n v="63"/>
    <x v="2"/>
    <s v="FashionUpgrade"/>
    <n v="0.25869984981763572"/>
  </r>
  <r>
    <x v="243"/>
    <x v="1"/>
    <d v="2024-10-25T00:00:00"/>
    <x v="5"/>
    <s v="Explore the latest video on Myntra! Trendy styles await."/>
    <n v="4661"/>
    <n v="935"/>
    <n v="433"/>
    <n v="23305"/>
    <n v="22583"/>
    <n v="63"/>
    <x v="4"/>
    <s v="FashionUpgrade"/>
    <n v="0.25869984981763572"/>
  </r>
  <r>
    <x v="244"/>
    <x v="3"/>
    <d v="2025-01-12T00:00:00"/>
    <x v="0"/>
    <s v="Explore the latest reel on Myntra! Trendy styles await."/>
    <n v="4134"/>
    <n v="824"/>
    <n v="99"/>
    <n v="41340"/>
    <n v="41050"/>
    <n v="177"/>
    <x v="1"/>
    <s v="EndOfSeasonSale"/>
    <n v="0.12232704402515723"/>
  </r>
  <r>
    <x v="245"/>
    <x v="3"/>
    <d v="2024-10-11T00:00:00"/>
    <x v="4"/>
    <s v="Explore the latest image on Myntra! Trendy styles await."/>
    <n v="400"/>
    <n v="680"/>
    <n v="434"/>
    <n v="6400"/>
    <n v="5472"/>
    <n v="160"/>
    <x v="0"/>
    <s v="EndOfSeasonSale"/>
    <n v="0.23656250000000001"/>
  </r>
  <r>
    <x v="245"/>
    <x v="3"/>
    <d v="2024-10-11T00:00:00"/>
    <x v="4"/>
    <s v="Explore the latest image on Myntra! Trendy styles await."/>
    <n v="400"/>
    <n v="680"/>
    <n v="434"/>
    <n v="6400"/>
    <n v="5472"/>
    <n v="160"/>
    <x v="3"/>
    <s v="EndOfSeasonSale"/>
    <n v="0.23656250000000001"/>
  </r>
  <r>
    <x v="246"/>
    <x v="3"/>
    <d v="2024-08-27T00:00:00"/>
    <x v="0"/>
    <s v="Explore the latest reel on Myntra! Trendy styles await."/>
    <n v="3960"/>
    <n v="266"/>
    <n v="8"/>
    <n v="35640"/>
    <n v="34850"/>
    <n v="208"/>
    <x v="3"/>
    <s v="StyleRevolution"/>
    <n v="0.11879910213243547"/>
  </r>
  <r>
    <x v="246"/>
    <x v="3"/>
    <d v="2024-08-27T00:00:00"/>
    <x v="0"/>
    <s v="Explore the latest reel on Myntra! Trendy styles await."/>
    <n v="3960"/>
    <n v="266"/>
    <n v="8"/>
    <n v="35640"/>
    <n v="34850"/>
    <n v="208"/>
    <x v="1"/>
    <s v="StyleRevolution"/>
    <n v="0.11879910213243547"/>
  </r>
  <r>
    <x v="247"/>
    <x v="3"/>
    <d v="2025-02-02T00:00:00"/>
    <x v="2"/>
    <s v="Explore the latest story on Myntra! Trendy styles await."/>
    <n v="886"/>
    <n v="126"/>
    <n v="153"/>
    <n v="4430"/>
    <n v="4037"/>
    <n v="212"/>
    <x v="0"/>
    <s v="MyntraFestiveEdit"/>
    <n v="0.26297968397291194"/>
  </r>
  <r>
    <x v="248"/>
    <x v="0"/>
    <d v="2024-07-18T00:00:00"/>
    <x v="4"/>
    <s v="Explore the latest image on Myntra! Trendy styles await."/>
    <n v="827"/>
    <n v="77"/>
    <n v="402"/>
    <n v="14886"/>
    <n v="14129"/>
    <n v="254"/>
    <x v="2"/>
    <s v="EndOfSeasonSale"/>
    <n v="8.7733440816874911E-2"/>
  </r>
  <r>
    <x v="249"/>
    <x v="3"/>
    <d v="2024-06-22T00:00:00"/>
    <x v="0"/>
    <s v="Explore the latest reel on Myntra! Trendy styles await."/>
    <n v="3813"/>
    <n v="935"/>
    <n v="274"/>
    <n v="68634"/>
    <n v="68488"/>
    <n v="251"/>
    <x v="4"/>
    <s v="FashionUpgrade"/>
    <n v="7.3170731707317069E-2"/>
  </r>
  <r>
    <x v="249"/>
    <x v="3"/>
    <d v="2024-06-22T00:00:00"/>
    <x v="0"/>
    <s v="Explore the latest reel on Myntra! Trendy styles await."/>
    <n v="3813"/>
    <n v="935"/>
    <n v="274"/>
    <n v="68634"/>
    <n v="68488"/>
    <n v="251"/>
    <x v="3"/>
    <s v="FashionUpgrade"/>
    <n v="7.3170731707317069E-2"/>
  </r>
  <r>
    <x v="250"/>
    <x v="2"/>
    <d v="2025-03-27T00:00:00"/>
    <x v="3"/>
    <s v="Explore the latest carousel on Myntra! Trendy styles await."/>
    <n v="1377"/>
    <n v="796"/>
    <n v="387"/>
    <n v="22032"/>
    <n v="21869"/>
    <n v="189"/>
    <x v="4"/>
    <s v="MyntraFestiveEdit"/>
    <n v="0.11619462599854757"/>
  </r>
  <r>
    <x v="250"/>
    <x v="2"/>
    <d v="2025-03-27T00:00:00"/>
    <x v="3"/>
    <s v="Explore the latest carousel on Myntra! Trendy styles await."/>
    <n v="1377"/>
    <n v="796"/>
    <n v="387"/>
    <n v="22032"/>
    <n v="21869"/>
    <n v="189"/>
    <x v="1"/>
    <s v="MyntraFestiveEdit"/>
    <n v="0.11619462599854757"/>
  </r>
  <r>
    <x v="251"/>
    <x v="3"/>
    <d v="2025-04-28T00:00:00"/>
    <x v="3"/>
    <s v="Explore the latest carousel on Myntra! Trendy styles await."/>
    <n v="2089"/>
    <n v="476"/>
    <n v="69"/>
    <n v="16712"/>
    <n v="16309"/>
    <n v="64"/>
    <x v="2"/>
    <s v="FashionUpgrade"/>
    <n v="0.15761129727142173"/>
  </r>
  <r>
    <x v="251"/>
    <x v="3"/>
    <d v="2025-04-28T00:00:00"/>
    <x v="3"/>
    <s v="Explore the latest carousel on Myntra! Trendy styles await."/>
    <n v="2089"/>
    <n v="476"/>
    <n v="69"/>
    <n v="16712"/>
    <n v="16309"/>
    <n v="64"/>
    <x v="0"/>
    <s v="FashionUpgrade"/>
    <n v="0.15761129727142173"/>
  </r>
  <r>
    <x v="252"/>
    <x v="0"/>
    <d v="2024-08-03T00:00:00"/>
    <x v="0"/>
    <s v="Explore the latest reel on Myntra! Trendy styles await."/>
    <n v="3791"/>
    <n v="593"/>
    <n v="228"/>
    <n v="53074"/>
    <n v="52613"/>
    <n v="205"/>
    <x v="2"/>
    <s v="FashionUpgrade"/>
    <n v="8.6897539284772202E-2"/>
  </r>
  <r>
    <x v="252"/>
    <x v="0"/>
    <d v="2024-08-03T00:00:00"/>
    <x v="0"/>
    <s v="Explore the latest reel on Myntra! Trendy styles await."/>
    <n v="3791"/>
    <n v="593"/>
    <n v="228"/>
    <n v="53074"/>
    <n v="52613"/>
    <n v="205"/>
    <x v="4"/>
    <s v="FashionUpgrade"/>
    <n v="8.6897539284772202E-2"/>
  </r>
  <r>
    <x v="253"/>
    <x v="0"/>
    <d v="2025-01-14T00:00:00"/>
    <x v="4"/>
    <s v="Explore the latest image on Myntra! Trendy styles await."/>
    <n v="2692"/>
    <n v="115"/>
    <n v="64"/>
    <n v="21536"/>
    <n v="21120"/>
    <n v="224"/>
    <x v="4"/>
    <s v="StyleRevolution"/>
    <n v="0.13331166419019316"/>
  </r>
  <r>
    <x v="253"/>
    <x v="0"/>
    <d v="2025-01-14T00:00:00"/>
    <x v="4"/>
    <s v="Explore the latest image on Myntra! Trendy styles await."/>
    <n v="2692"/>
    <n v="115"/>
    <n v="64"/>
    <n v="21536"/>
    <n v="21120"/>
    <n v="224"/>
    <x v="3"/>
    <s v="StyleRevolution"/>
    <n v="0.13331166419019316"/>
  </r>
  <r>
    <x v="254"/>
    <x v="3"/>
    <d v="2025-04-03T00:00:00"/>
    <x v="2"/>
    <s v="Explore the latest story on Myntra! Trendy styles await."/>
    <n v="3767"/>
    <n v="514"/>
    <n v="238"/>
    <n v="37670"/>
    <n v="36807"/>
    <n v="226"/>
    <x v="2"/>
    <s v="FashionUpgrade"/>
    <n v="0.11996283514733209"/>
  </r>
  <r>
    <x v="254"/>
    <x v="3"/>
    <d v="2025-04-03T00:00:00"/>
    <x v="2"/>
    <s v="Explore the latest story on Myntra! Trendy styles await."/>
    <n v="3767"/>
    <n v="514"/>
    <n v="238"/>
    <n v="37670"/>
    <n v="36807"/>
    <n v="226"/>
    <x v="4"/>
    <s v="FashionUpgrade"/>
    <n v="0.11996283514733209"/>
  </r>
  <r>
    <x v="255"/>
    <x v="1"/>
    <d v="2024-09-18T00:00:00"/>
    <x v="3"/>
    <s v="Explore the latest carousel on Myntra! Trendy styles await."/>
    <n v="2143"/>
    <n v="12"/>
    <n v="204"/>
    <n v="40717"/>
    <n v="40125"/>
    <n v="248"/>
    <x v="4"/>
    <s v="StyleRevolution"/>
    <n v="5.7936488444630008E-2"/>
  </r>
  <r>
    <x v="255"/>
    <x v="1"/>
    <d v="2024-09-18T00:00:00"/>
    <x v="3"/>
    <s v="Explore the latest carousel on Myntra! Trendy styles await."/>
    <n v="2143"/>
    <n v="12"/>
    <n v="204"/>
    <n v="40717"/>
    <n v="40125"/>
    <n v="248"/>
    <x v="0"/>
    <s v="StyleRevolution"/>
    <n v="5.7936488444630008E-2"/>
  </r>
  <r>
    <x v="256"/>
    <x v="3"/>
    <d v="2025-04-06T00:00:00"/>
    <x v="4"/>
    <s v="Explore the latest image on Myntra! Trendy styles await."/>
    <n v="3090"/>
    <n v="697"/>
    <n v="164"/>
    <n v="49440"/>
    <n v="48524"/>
    <n v="25"/>
    <x v="4"/>
    <s v="StyleRevolution"/>
    <n v="7.9915048543689318E-2"/>
  </r>
  <r>
    <x v="256"/>
    <x v="3"/>
    <d v="2025-04-06T00:00:00"/>
    <x v="4"/>
    <s v="Explore the latest image on Myntra! Trendy styles await."/>
    <n v="3090"/>
    <n v="697"/>
    <n v="164"/>
    <n v="49440"/>
    <n v="48524"/>
    <n v="25"/>
    <x v="2"/>
    <s v="StyleRevolution"/>
    <n v="7.9915048543689318E-2"/>
  </r>
  <r>
    <x v="257"/>
    <x v="2"/>
    <d v="2024-08-05T00:00:00"/>
    <x v="2"/>
    <s v="Explore the latest story on Myntra! Trendy styles await."/>
    <n v="3601"/>
    <n v="695"/>
    <n v="75"/>
    <n v="21606"/>
    <n v="21454"/>
    <n v="172"/>
    <x v="2"/>
    <s v="EndOfSeasonSale"/>
    <n v="0.2023049153013052"/>
  </r>
  <r>
    <x v="258"/>
    <x v="3"/>
    <d v="2025-02-10T00:00:00"/>
    <x v="1"/>
    <s v="Explore the latest text on Myntra! Trendy styles await."/>
    <n v="562"/>
    <n v="158"/>
    <n v="149"/>
    <n v="3372"/>
    <n v="2940"/>
    <n v="93"/>
    <x v="4"/>
    <s v="StyleRevolution"/>
    <n v="0.25771055753262156"/>
  </r>
  <r>
    <x v="258"/>
    <x v="3"/>
    <d v="2025-02-10T00:00:00"/>
    <x v="1"/>
    <s v="Explore the latest text on Myntra! Trendy styles await."/>
    <n v="562"/>
    <n v="158"/>
    <n v="149"/>
    <n v="3372"/>
    <n v="2940"/>
    <n v="93"/>
    <x v="0"/>
    <s v="StyleRevolution"/>
    <n v="0.25771055753262156"/>
  </r>
  <r>
    <x v="259"/>
    <x v="2"/>
    <d v="2025-02-12T00:00:00"/>
    <x v="2"/>
    <s v="Explore the latest story on Myntra! Trendy styles await."/>
    <n v="4332"/>
    <n v="771"/>
    <n v="219"/>
    <n v="60648"/>
    <n v="60397"/>
    <n v="10"/>
    <x v="1"/>
    <s v="MyntraFestiveEdit"/>
    <n v="8.7752275425405618E-2"/>
  </r>
  <r>
    <x v="260"/>
    <x v="2"/>
    <d v="2024-10-27T00:00:00"/>
    <x v="4"/>
    <s v="Explore the latest image on Myntra! Trendy styles await."/>
    <n v="4853"/>
    <n v="837"/>
    <n v="340"/>
    <n v="72795"/>
    <n v="72237"/>
    <n v="170"/>
    <x v="0"/>
    <s v="EndOfSeasonSale"/>
    <n v="8.2835359571399134E-2"/>
  </r>
  <r>
    <x v="261"/>
    <x v="1"/>
    <d v="2025-01-18T00:00:00"/>
    <x v="4"/>
    <s v="Explore the latest image on Myntra! Trendy styles await."/>
    <n v="1206"/>
    <n v="238"/>
    <n v="36"/>
    <n v="9648"/>
    <n v="9417"/>
    <n v="237"/>
    <x v="0"/>
    <s v="MyntraFestiveEdit"/>
    <n v="0.15339966832504145"/>
  </r>
  <r>
    <x v="261"/>
    <x v="1"/>
    <d v="2025-01-18T00:00:00"/>
    <x v="4"/>
    <s v="Explore the latest image on Myntra! Trendy styles await."/>
    <n v="1206"/>
    <n v="238"/>
    <n v="36"/>
    <n v="9648"/>
    <n v="9417"/>
    <n v="237"/>
    <x v="2"/>
    <s v="MyntraFestiveEdit"/>
    <n v="0.15339966832504145"/>
  </r>
  <r>
    <x v="262"/>
    <x v="2"/>
    <d v="2024-08-20T00:00:00"/>
    <x v="0"/>
    <s v="Explore the latest reel on Myntra! Trendy styles await."/>
    <n v="2603"/>
    <n v="690"/>
    <n v="205"/>
    <n v="13015"/>
    <n v="12130"/>
    <n v="20"/>
    <x v="3"/>
    <s v="FashionUpgrade"/>
    <n v="0.26876680752977333"/>
  </r>
  <r>
    <x v="263"/>
    <x v="0"/>
    <d v="2025-01-30T00:00:00"/>
    <x v="4"/>
    <s v="Explore the latest image on Myntra! Trendy styles await."/>
    <n v="59"/>
    <n v="163"/>
    <n v="93"/>
    <n v="590"/>
    <n v="475"/>
    <n v="293"/>
    <x v="3"/>
    <s v="StyleRevolution"/>
    <n v="0.53389830508474578"/>
  </r>
  <r>
    <x v="264"/>
    <x v="0"/>
    <d v="2025-02-20T00:00:00"/>
    <x v="3"/>
    <s v="Explore the latest carousel on Myntra! Trendy styles await."/>
    <n v="1877"/>
    <n v="745"/>
    <n v="225"/>
    <n v="11262"/>
    <n v="10967"/>
    <n v="41"/>
    <x v="2"/>
    <s v="FashionUpgrade"/>
    <n v="0.25279701651571657"/>
  </r>
  <r>
    <x v="264"/>
    <x v="0"/>
    <d v="2025-02-20T00:00:00"/>
    <x v="3"/>
    <s v="Explore the latest carousel on Myntra! Trendy styles await."/>
    <n v="1877"/>
    <n v="745"/>
    <n v="225"/>
    <n v="11262"/>
    <n v="10967"/>
    <n v="41"/>
    <x v="0"/>
    <s v="FashionUpgrade"/>
    <n v="0.25279701651571657"/>
  </r>
  <r>
    <x v="265"/>
    <x v="3"/>
    <d v="2024-11-25T00:00:00"/>
    <x v="2"/>
    <s v="Explore the latest story on Myntra! Trendy styles await."/>
    <n v="4182"/>
    <n v="640"/>
    <n v="240"/>
    <n v="50184"/>
    <n v="49351"/>
    <n v="10"/>
    <x v="0"/>
    <s v="MyntraFestiveEdit"/>
    <n v="0.10086880280567512"/>
  </r>
  <r>
    <x v="265"/>
    <x v="3"/>
    <d v="2024-11-25T00:00:00"/>
    <x v="2"/>
    <s v="Explore the latest story on Myntra! Trendy styles await."/>
    <n v="4182"/>
    <n v="640"/>
    <n v="240"/>
    <n v="50184"/>
    <n v="49351"/>
    <n v="10"/>
    <x v="2"/>
    <s v="MyntraFestiveEdit"/>
    <n v="0.10086880280567512"/>
  </r>
  <r>
    <x v="266"/>
    <x v="0"/>
    <d v="2024-10-04T00:00:00"/>
    <x v="0"/>
    <s v="Explore the latest reel on Myntra! Trendy styles await."/>
    <n v="4187"/>
    <n v="66"/>
    <n v="31"/>
    <n v="66992"/>
    <n v="66614"/>
    <n v="62"/>
    <x v="2"/>
    <s v="StyleRevolution"/>
    <n v="6.3947934081681396E-2"/>
  </r>
  <r>
    <x v="267"/>
    <x v="2"/>
    <d v="2025-04-13T00:00:00"/>
    <x v="0"/>
    <s v="Explore the latest reel on Myntra! Trendy styles await."/>
    <n v="4579"/>
    <n v="125"/>
    <n v="300"/>
    <n v="59527"/>
    <n v="59400"/>
    <n v="269"/>
    <x v="2"/>
    <s v="FashionUpgrade"/>
    <n v="8.4062694239588759E-2"/>
  </r>
  <r>
    <x v="267"/>
    <x v="2"/>
    <d v="2025-04-13T00:00:00"/>
    <x v="0"/>
    <s v="Explore the latest reel on Myntra! Trendy styles await."/>
    <n v="4579"/>
    <n v="125"/>
    <n v="300"/>
    <n v="59527"/>
    <n v="59400"/>
    <n v="269"/>
    <x v="1"/>
    <s v="FashionUpgrade"/>
    <n v="8.4062694239588759E-2"/>
  </r>
  <r>
    <x v="268"/>
    <x v="2"/>
    <d v="2024-11-05T00:00:00"/>
    <x v="5"/>
    <s v="Explore the latest video on Myntra! Trendy styles await."/>
    <n v="4561"/>
    <n v="51"/>
    <n v="441"/>
    <n v="22805"/>
    <n v="21890"/>
    <n v="45"/>
    <x v="2"/>
    <s v="EndOfSeasonSale"/>
    <n v="0.22157421618066214"/>
  </r>
  <r>
    <x v="269"/>
    <x v="1"/>
    <d v="2025-01-15T00:00:00"/>
    <x v="0"/>
    <s v="Explore the latest reel on Myntra! Trendy styles await."/>
    <n v="3774"/>
    <n v="239"/>
    <n v="39"/>
    <n v="60384"/>
    <n v="59490"/>
    <n v="241"/>
    <x v="4"/>
    <s v="MyntraFestiveEdit"/>
    <n v="6.7103868574456813E-2"/>
  </r>
  <r>
    <x v="270"/>
    <x v="2"/>
    <d v="2024-10-17T00:00:00"/>
    <x v="5"/>
    <s v="Explore the latest video on Myntra! Trendy styles await."/>
    <n v="3575"/>
    <n v="749"/>
    <n v="111"/>
    <n v="21450"/>
    <n v="20785"/>
    <n v="195"/>
    <x v="4"/>
    <s v="MyntraFestiveEdit"/>
    <n v="0.20675990675990677"/>
  </r>
  <r>
    <x v="271"/>
    <x v="2"/>
    <d v="2025-03-27T00:00:00"/>
    <x v="1"/>
    <s v="Explore the latest text on Myntra! Trendy styles await."/>
    <n v="4941"/>
    <n v="414"/>
    <n v="266"/>
    <n v="39528"/>
    <n v="39154"/>
    <n v="217"/>
    <x v="0"/>
    <s v="EndOfSeasonSale"/>
    <n v="0.14220299534507186"/>
  </r>
  <r>
    <x v="272"/>
    <x v="1"/>
    <d v="2024-10-12T00:00:00"/>
    <x v="2"/>
    <s v="Explore the latest story on Myntra! Trendy styles await."/>
    <n v="3641"/>
    <n v="226"/>
    <n v="46"/>
    <n v="40051"/>
    <n v="39319"/>
    <n v="296"/>
    <x v="3"/>
    <s v="EndOfSeasonSale"/>
    <n v="9.7700431949264685E-2"/>
  </r>
  <r>
    <x v="273"/>
    <x v="0"/>
    <d v="2025-01-01T00:00:00"/>
    <x v="3"/>
    <s v="Explore the latest carousel on Myntra! Trendy styles await."/>
    <n v="3535"/>
    <n v="494"/>
    <n v="152"/>
    <n v="53025"/>
    <n v="52791"/>
    <n v="44"/>
    <x v="3"/>
    <s v="EndOfSeasonSale"/>
    <n v="7.8849599245638849E-2"/>
  </r>
  <r>
    <x v="273"/>
    <x v="0"/>
    <d v="2025-01-01T00:00:00"/>
    <x v="3"/>
    <s v="Explore the latest carousel on Myntra! Trendy styles await."/>
    <n v="3535"/>
    <n v="494"/>
    <n v="152"/>
    <n v="53025"/>
    <n v="52791"/>
    <n v="44"/>
    <x v="2"/>
    <s v="EndOfSeasonSale"/>
    <n v="7.8849599245638849E-2"/>
  </r>
  <r>
    <x v="274"/>
    <x v="3"/>
    <d v="2024-08-05T00:00:00"/>
    <x v="0"/>
    <s v="Explore the latest reel on Myntra! Trendy styles await."/>
    <n v="1741"/>
    <n v="831"/>
    <n v="345"/>
    <n v="17410"/>
    <n v="16844"/>
    <n v="58"/>
    <x v="1"/>
    <s v="StyleRevolution"/>
    <n v="0.16754738655944859"/>
  </r>
  <r>
    <x v="274"/>
    <x v="3"/>
    <d v="2024-08-05T00:00:00"/>
    <x v="0"/>
    <s v="Explore the latest reel on Myntra! Trendy styles await."/>
    <n v="1741"/>
    <n v="831"/>
    <n v="345"/>
    <n v="17410"/>
    <n v="16844"/>
    <n v="58"/>
    <x v="4"/>
    <s v="StyleRevolution"/>
    <n v="0.16754738655944859"/>
  </r>
  <r>
    <x v="275"/>
    <x v="0"/>
    <d v="2024-06-07T00:00:00"/>
    <x v="3"/>
    <s v="Explore the latest carousel on Myntra! Trendy styles await."/>
    <n v="1556"/>
    <n v="195"/>
    <n v="131"/>
    <n v="9336"/>
    <n v="8875"/>
    <n v="137"/>
    <x v="1"/>
    <s v="EndOfSeasonSale"/>
    <n v="0.2015852613538989"/>
  </r>
  <r>
    <x v="276"/>
    <x v="3"/>
    <d v="2025-04-06T00:00:00"/>
    <x v="4"/>
    <s v="Explore the latest image on Myntra! Trendy styles await."/>
    <n v="4236"/>
    <n v="711"/>
    <n v="298"/>
    <n v="21180"/>
    <n v="20516"/>
    <n v="238"/>
    <x v="3"/>
    <s v="StyleRevolution"/>
    <n v="0.24763928234183191"/>
  </r>
  <r>
    <x v="276"/>
    <x v="3"/>
    <d v="2025-04-06T00:00:00"/>
    <x v="4"/>
    <s v="Explore the latest image on Myntra! Trendy styles await."/>
    <n v="4236"/>
    <n v="711"/>
    <n v="298"/>
    <n v="21180"/>
    <n v="20516"/>
    <n v="238"/>
    <x v="0"/>
    <s v="StyleRevolution"/>
    <n v="0.24763928234183191"/>
  </r>
  <r>
    <x v="277"/>
    <x v="0"/>
    <d v="2024-11-26T00:00:00"/>
    <x v="1"/>
    <s v="Explore the latest text on Myntra! Trendy styles await."/>
    <n v="4516"/>
    <n v="836"/>
    <n v="169"/>
    <n v="49676"/>
    <n v="49257"/>
    <n v="282"/>
    <x v="3"/>
    <s v="FashionUpgrade"/>
    <n v="0.11114018842096787"/>
  </r>
  <r>
    <x v="278"/>
    <x v="1"/>
    <d v="2024-09-02T00:00:00"/>
    <x v="4"/>
    <s v="Explore the latest image on Myntra! Trendy styles await."/>
    <n v="4905"/>
    <n v="845"/>
    <n v="129"/>
    <n v="98100"/>
    <n v="97772"/>
    <n v="279"/>
    <x v="3"/>
    <s v="StyleRevolution"/>
    <n v="5.9928644240570844E-2"/>
  </r>
  <r>
    <x v="279"/>
    <x v="1"/>
    <d v="2024-10-21T00:00:00"/>
    <x v="5"/>
    <s v="Explore the latest video on Myntra! Trendy styles await."/>
    <n v="4275"/>
    <n v="680"/>
    <n v="385"/>
    <n v="64125"/>
    <n v="63650"/>
    <n v="104"/>
    <x v="2"/>
    <s v="StyleRevolution"/>
    <n v="8.3274853801169585E-2"/>
  </r>
  <r>
    <x v="280"/>
    <x v="1"/>
    <d v="2025-03-22T00:00:00"/>
    <x v="4"/>
    <s v="Explore the latest image on Myntra! Trendy styles await."/>
    <n v="3166"/>
    <n v="90"/>
    <n v="341"/>
    <n v="56988"/>
    <n v="56125"/>
    <n v="135"/>
    <x v="1"/>
    <s v="EndOfSeasonSale"/>
    <n v="6.3118551273952411E-2"/>
  </r>
  <r>
    <x v="280"/>
    <x v="1"/>
    <d v="2025-03-22T00:00:00"/>
    <x v="4"/>
    <s v="Explore the latest image on Myntra! Trendy styles await."/>
    <n v="3166"/>
    <n v="90"/>
    <n v="341"/>
    <n v="56988"/>
    <n v="56125"/>
    <n v="135"/>
    <x v="2"/>
    <s v="EndOfSeasonSale"/>
    <n v="6.3118551273952411E-2"/>
  </r>
  <r>
    <x v="281"/>
    <x v="2"/>
    <d v="2024-10-03T00:00:00"/>
    <x v="5"/>
    <s v="Explore the latest video on Myntra! Trendy styles await."/>
    <n v="1488"/>
    <n v="417"/>
    <n v="168"/>
    <n v="19344"/>
    <n v="18395"/>
    <n v="30"/>
    <x v="0"/>
    <s v="FashionUpgrade"/>
    <n v="0.1071650124069479"/>
  </r>
  <r>
    <x v="282"/>
    <x v="0"/>
    <d v="2025-05-09T00:00:00"/>
    <x v="0"/>
    <s v="Explore the latest reel on Myntra! Trendy styles await."/>
    <n v="3367"/>
    <n v="302"/>
    <n v="57"/>
    <n v="63973"/>
    <n v="63789"/>
    <n v="157"/>
    <x v="3"/>
    <s v="MyntraFestiveEdit"/>
    <n v="5.8243321401216137E-2"/>
  </r>
  <r>
    <x v="282"/>
    <x v="0"/>
    <d v="2025-05-09T00:00:00"/>
    <x v="0"/>
    <s v="Explore the latest reel on Myntra! Trendy styles await."/>
    <n v="3367"/>
    <n v="302"/>
    <n v="57"/>
    <n v="63973"/>
    <n v="63789"/>
    <n v="157"/>
    <x v="1"/>
    <s v="MyntraFestiveEdit"/>
    <n v="5.8243321401216137E-2"/>
  </r>
  <r>
    <x v="283"/>
    <x v="0"/>
    <d v="2024-09-17T00:00:00"/>
    <x v="1"/>
    <s v="Explore the latest text on Myntra! Trendy styles await."/>
    <n v="571"/>
    <n v="190"/>
    <n v="352"/>
    <n v="9707"/>
    <n v="9418"/>
    <n v="231"/>
    <x v="4"/>
    <s v="EndOfSeasonSale"/>
    <n v="0.11465952405480581"/>
  </r>
  <r>
    <x v="284"/>
    <x v="1"/>
    <d v="2024-07-18T00:00:00"/>
    <x v="1"/>
    <s v="Explore the latest text on Myntra! Trendy styles await."/>
    <n v="4021"/>
    <n v="794"/>
    <n v="77"/>
    <n v="36189"/>
    <n v="35505"/>
    <n v="174"/>
    <x v="4"/>
    <s v="FashionUpgrade"/>
    <n v="0.13517919809886983"/>
  </r>
  <r>
    <x v="284"/>
    <x v="1"/>
    <d v="2024-07-18T00:00:00"/>
    <x v="1"/>
    <s v="Explore the latest text on Myntra! Trendy styles await."/>
    <n v="4021"/>
    <n v="794"/>
    <n v="77"/>
    <n v="36189"/>
    <n v="35505"/>
    <n v="174"/>
    <x v="2"/>
    <s v="FashionUpgrade"/>
    <n v="0.13517919809886983"/>
  </r>
  <r>
    <x v="285"/>
    <x v="1"/>
    <d v="2024-09-25T00:00:00"/>
    <x v="5"/>
    <s v="Explore the latest video on Myntra! Trendy styles await."/>
    <n v="3389"/>
    <n v="344"/>
    <n v="229"/>
    <n v="20334"/>
    <n v="19443"/>
    <n v="228"/>
    <x v="1"/>
    <s v="EndOfSeasonSale"/>
    <n v="0.19484607062063539"/>
  </r>
  <r>
    <x v="285"/>
    <x v="1"/>
    <d v="2024-09-25T00:00:00"/>
    <x v="5"/>
    <s v="Explore the latest video on Myntra! Trendy styles await."/>
    <n v="3389"/>
    <n v="344"/>
    <n v="229"/>
    <n v="20334"/>
    <n v="19443"/>
    <n v="228"/>
    <x v="0"/>
    <s v="EndOfSeasonSale"/>
    <n v="0.19484607062063539"/>
  </r>
  <r>
    <x v="286"/>
    <x v="2"/>
    <d v="2024-08-15T00:00:00"/>
    <x v="0"/>
    <s v="Explore the latest reel on Myntra! Trendy styles await."/>
    <n v="1164"/>
    <n v="616"/>
    <n v="324"/>
    <n v="6984"/>
    <n v="6636"/>
    <n v="82"/>
    <x v="1"/>
    <s v="MyntraFestiveEdit"/>
    <n v="0.30126002290950743"/>
  </r>
  <r>
    <x v="286"/>
    <x v="2"/>
    <d v="2024-08-15T00:00:00"/>
    <x v="0"/>
    <s v="Explore the latest reel on Myntra! Trendy styles await."/>
    <n v="1164"/>
    <n v="616"/>
    <n v="324"/>
    <n v="6984"/>
    <n v="6636"/>
    <n v="82"/>
    <x v="3"/>
    <s v="MyntraFestiveEdit"/>
    <n v="0.30126002290950743"/>
  </r>
  <r>
    <x v="287"/>
    <x v="1"/>
    <d v="2025-04-17T00:00:00"/>
    <x v="3"/>
    <s v="Explore the latest carousel on Myntra! Trendy styles await."/>
    <n v="4780"/>
    <n v="691"/>
    <n v="380"/>
    <n v="86040"/>
    <n v="85743"/>
    <n v="262"/>
    <x v="1"/>
    <s v="MyntraFestiveEdit"/>
    <n v="6.800325430032543E-2"/>
  </r>
  <r>
    <x v="287"/>
    <x v="1"/>
    <d v="2025-04-17T00:00:00"/>
    <x v="3"/>
    <s v="Explore the latest carousel on Myntra! Trendy styles await."/>
    <n v="4780"/>
    <n v="691"/>
    <n v="380"/>
    <n v="86040"/>
    <n v="85743"/>
    <n v="262"/>
    <x v="4"/>
    <s v="MyntraFestiveEdit"/>
    <n v="6.800325430032543E-2"/>
  </r>
  <r>
    <x v="288"/>
    <x v="3"/>
    <d v="2024-11-28T00:00:00"/>
    <x v="3"/>
    <s v="Explore the latest carousel on Myntra! Trendy styles await."/>
    <n v="2751"/>
    <n v="33"/>
    <n v="430"/>
    <n v="44016"/>
    <n v="43415"/>
    <n v="129"/>
    <x v="3"/>
    <s v="EndOfSeasonSale"/>
    <n v="7.3018902217375503E-2"/>
  </r>
  <r>
    <x v="288"/>
    <x v="3"/>
    <d v="2024-11-28T00:00:00"/>
    <x v="3"/>
    <s v="Explore the latest carousel on Myntra! Trendy styles await."/>
    <n v="2751"/>
    <n v="33"/>
    <n v="430"/>
    <n v="44016"/>
    <n v="43415"/>
    <n v="129"/>
    <x v="2"/>
    <s v="EndOfSeasonSale"/>
    <n v="7.3018902217375503E-2"/>
  </r>
  <r>
    <x v="289"/>
    <x v="2"/>
    <d v="2024-12-20T00:00:00"/>
    <x v="3"/>
    <s v="Explore the latest carousel on Myntra! Trendy styles await."/>
    <n v="2107"/>
    <n v="550"/>
    <n v="349"/>
    <n v="35819"/>
    <n v="35340"/>
    <n v="191"/>
    <x v="3"/>
    <s v="MyntraFestiveEdit"/>
    <n v="8.3921940869371006E-2"/>
  </r>
  <r>
    <x v="290"/>
    <x v="3"/>
    <d v="2024-11-06T00:00:00"/>
    <x v="5"/>
    <s v="Explore the latest video on Myntra! Trendy styles await."/>
    <n v="4663"/>
    <n v="145"/>
    <n v="225"/>
    <n v="69945"/>
    <n v="69596"/>
    <n v="35"/>
    <x v="1"/>
    <s v="EndOfSeasonSale"/>
    <n v="7.1956537279290869E-2"/>
  </r>
  <r>
    <x v="291"/>
    <x v="3"/>
    <d v="2024-11-17T00:00:00"/>
    <x v="1"/>
    <s v="Explore the latest text on Myntra! Trendy styles await."/>
    <n v="880"/>
    <n v="297"/>
    <n v="345"/>
    <n v="12320"/>
    <n v="11978"/>
    <n v="238"/>
    <x v="0"/>
    <s v="EndOfSeasonSale"/>
    <n v="0.12353896103896105"/>
  </r>
  <r>
    <x v="292"/>
    <x v="3"/>
    <d v="2025-05-14T00:00:00"/>
    <x v="1"/>
    <s v="Explore the latest text on Myntra! Trendy styles await."/>
    <n v="2634"/>
    <n v="726"/>
    <n v="241"/>
    <n v="28974"/>
    <n v="28102"/>
    <n v="277"/>
    <x v="2"/>
    <s v="MyntraFestiveEdit"/>
    <n v="0.12428384068475185"/>
  </r>
  <r>
    <x v="293"/>
    <x v="3"/>
    <d v="2024-06-19T00:00:00"/>
    <x v="3"/>
    <s v="Explore the latest carousel on Myntra! Trendy styles await."/>
    <n v="4731"/>
    <n v="173"/>
    <n v="276"/>
    <n v="28386"/>
    <n v="28185"/>
    <n v="89"/>
    <x v="3"/>
    <s v="StyleRevolution"/>
    <n v="0.18248432325794406"/>
  </r>
  <r>
    <x v="293"/>
    <x v="3"/>
    <d v="2024-06-19T00:00:00"/>
    <x v="3"/>
    <s v="Explore the latest carousel on Myntra! Trendy styles await."/>
    <n v="4731"/>
    <n v="173"/>
    <n v="276"/>
    <n v="28386"/>
    <n v="28185"/>
    <n v="89"/>
    <x v="1"/>
    <s v="StyleRevolution"/>
    <n v="0.18248432325794406"/>
  </r>
  <r>
    <x v="294"/>
    <x v="0"/>
    <d v="2025-05-06T00:00:00"/>
    <x v="4"/>
    <s v="Explore the latest image on Myntra! Trendy styles await."/>
    <n v="1952"/>
    <n v="344"/>
    <n v="287"/>
    <n v="15616"/>
    <n v="15403"/>
    <n v="235"/>
    <x v="0"/>
    <s v="MyntraFestiveEdit"/>
    <n v="0.16540727459016394"/>
  </r>
  <r>
    <x v="294"/>
    <x v="0"/>
    <d v="2025-05-06T00:00:00"/>
    <x v="4"/>
    <s v="Explore the latest image on Myntra! Trendy styles await."/>
    <n v="1952"/>
    <n v="344"/>
    <n v="287"/>
    <n v="15616"/>
    <n v="15403"/>
    <n v="235"/>
    <x v="1"/>
    <s v="MyntraFestiveEdit"/>
    <n v="0.16540727459016394"/>
  </r>
  <r>
    <x v="295"/>
    <x v="0"/>
    <d v="2025-02-11T00:00:00"/>
    <x v="5"/>
    <s v="Explore the latest video on Myntra! Trendy styles await."/>
    <n v="3440"/>
    <n v="13"/>
    <n v="20"/>
    <n v="58480"/>
    <n v="58146"/>
    <n v="210"/>
    <x v="1"/>
    <s v="FashionUpgrade"/>
    <n v="5.9387824897400819E-2"/>
  </r>
  <r>
    <x v="295"/>
    <x v="0"/>
    <d v="2025-02-11T00:00:00"/>
    <x v="5"/>
    <s v="Explore the latest video on Myntra! Trendy styles await."/>
    <n v="3440"/>
    <n v="13"/>
    <n v="20"/>
    <n v="58480"/>
    <n v="58146"/>
    <n v="210"/>
    <x v="4"/>
    <s v="FashionUpgrade"/>
    <n v="5.9387824897400819E-2"/>
  </r>
  <r>
    <x v="296"/>
    <x v="0"/>
    <d v="2024-12-24T00:00:00"/>
    <x v="1"/>
    <s v="Explore the latest text on Myntra! Trendy styles await."/>
    <n v="2166"/>
    <n v="354"/>
    <n v="117"/>
    <n v="10830"/>
    <n v="10245"/>
    <n v="24"/>
    <x v="2"/>
    <s v="FashionUpgrade"/>
    <n v="0.24349030470914126"/>
  </r>
  <r>
    <x v="296"/>
    <x v="0"/>
    <d v="2024-12-24T00:00:00"/>
    <x v="1"/>
    <s v="Explore the latest text on Myntra! Trendy styles await."/>
    <n v="2166"/>
    <n v="354"/>
    <n v="117"/>
    <n v="10830"/>
    <n v="10245"/>
    <n v="24"/>
    <x v="3"/>
    <s v="FashionUpgrade"/>
    <n v="0.24349030470914126"/>
  </r>
  <r>
    <x v="297"/>
    <x v="3"/>
    <d v="2024-10-24T00:00:00"/>
    <x v="4"/>
    <s v="Explore the latest image on Myntra! Trendy styles await."/>
    <n v="4303"/>
    <n v="451"/>
    <n v="286"/>
    <n v="86060"/>
    <n v="85823"/>
    <n v="14"/>
    <x v="0"/>
    <s v="EndOfSeasonSale"/>
    <n v="5.8563792702765516E-2"/>
  </r>
  <r>
    <x v="298"/>
    <x v="3"/>
    <d v="2024-08-26T00:00:00"/>
    <x v="4"/>
    <s v="Explore the latest image on Myntra! Trendy styles await."/>
    <n v="2581"/>
    <n v="517"/>
    <n v="117"/>
    <n v="23229"/>
    <n v="22331"/>
    <n v="70"/>
    <x v="0"/>
    <s v="EndOfSeasonSale"/>
    <n v="0.13840458048129492"/>
  </r>
  <r>
    <x v="298"/>
    <x v="3"/>
    <d v="2024-08-26T00:00:00"/>
    <x v="4"/>
    <s v="Explore the latest image on Myntra! Trendy styles await."/>
    <n v="2581"/>
    <n v="517"/>
    <n v="117"/>
    <n v="23229"/>
    <n v="22331"/>
    <n v="70"/>
    <x v="2"/>
    <s v="EndOfSeasonSale"/>
    <n v="0.13840458048129492"/>
  </r>
  <r>
    <x v="299"/>
    <x v="0"/>
    <d v="2024-08-31T00:00:00"/>
    <x v="3"/>
    <s v="Explore the latest carousel on Myntra! Trendy styles await."/>
    <n v="4494"/>
    <n v="717"/>
    <n v="45"/>
    <n v="62916"/>
    <n v="62688"/>
    <n v="191"/>
    <x v="1"/>
    <s v="FashionUpgrade"/>
    <n v="8.3539958039290485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1047"/>
    <n v="5904"/>
    <n v="3.0428616268120576E-3"/>
    <x v="0"/>
    <x v="0"/>
    <n v="0.13651761517615177"/>
  </r>
  <r>
    <x v="0"/>
    <x v="1"/>
    <n v="1312"/>
    <n v="310"/>
    <n v="42654"/>
    <n v="4.9800000000000004"/>
    <n v="1002"/>
    <n v="9566"/>
    <n v="2.3491348994232664E-2"/>
    <x v="0"/>
    <x v="0"/>
    <n v="5.2059376960066905E-2"/>
  </r>
  <r>
    <x v="0"/>
    <x v="2"/>
    <n v="584"/>
    <n v="169"/>
    <n v="146834"/>
    <n v="8.31"/>
    <n v="415"/>
    <n v="26752"/>
    <n v="2.826320879360366E-3"/>
    <x v="0"/>
    <x v="0"/>
    <n v="3.1063098086124407E-2"/>
  </r>
  <r>
    <x v="0"/>
    <x v="3"/>
    <n v="1535"/>
    <n v="445"/>
    <n v="395536"/>
    <n v="4.1100000000000003"/>
    <n v="1090"/>
    <n v="30671"/>
    <n v="2.7557542170624167E-3"/>
    <x v="0"/>
    <x v="0"/>
    <n v="1.3400280395161555E-2"/>
  </r>
  <r>
    <x v="1"/>
    <x v="0"/>
    <n v="656"/>
    <n v="139"/>
    <n v="49157"/>
    <n v="9.0500000000000007"/>
    <n v="517"/>
    <n v="9920"/>
    <n v="1.0517322049758936E-2"/>
    <x v="1"/>
    <x v="0"/>
    <n v="9.1229838709677435E-2"/>
  </r>
  <r>
    <x v="1"/>
    <x v="1"/>
    <n v="1697"/>
    <n v="414"/>
    <n v="316555"/>
    <n v="2.37"/>
    <n v="1283"/>
    <n v="7924"/>
    <n v="4.0530081660374974E-3"/>
    <x v="1"/>
    <x v="0"/>
    <n v="2.9909136799596163E-2"/>
  </r>
  <r>
    <x v="1"/>
    <x v="2"/>
    <n v="436"/>
    <n v="250"/>
    <n v="254347"/>
    <n v="4.01"/>
    <n v="186"/>
    <n v="8912"/>
    <n v="7.3128442639386348E-4"/>
    <x v="1"/>
    <x v="0"/>
    <n v="4.4995511669658886E-2"/>
  </r>
  <r>
    <x v="1"/>
    <x v="3"/>
    <n v="1197"/>
    <n v="203"/>
    <n v="413878"/>
    <n v="3.16"/>
    <n v="994"/>
    <n v="21205"/>
    <n v="2.4016739232334168E-3"/>
    <x v="1"/>
    <x v="0"/>
    <n v="1.4902145720348974E-2"/>
  </r>
  <r>
    <x v="2"/>
    <x v="0"/>
    <n v="1048"/>
    <n v="155"/>
    <n v="456946"/>
    <n v="2.46"/>
    <n v="893"/>
    <n v="11329"/>
    <n v="1.9542790614208243E-3"/>
    <x v="1"/>
    <x v="0"/>
    <n v="2.1714184835378233E-2"/>
  </r>
  <r>
    <x v="2"/>
    <x v="1"/>
    <n v="1753"/>
    <n v="371"/>
    <n v="169496"/>
    <n v="8.11"/>
    <n v="1382"/>
    <n v="46670"/>
    <n v="8.1535847453627231E-3"/>
    <x v="1"/>
    <x v="0"/>
    <n v="1.7377330190700663E-2"/>
  </r>
  <r>
    <x v="2"/>
    <x v="2"/>
    <n v="1335"/>
    <n v="40"/>
    <n v="122732"/>
    <n v="8.19"/>
    <n v="1295"/>
    <n v="22482"/>
    <n v="1.0551445425805821E-2"/>
    <x v="1"/>
    <x v="0"/>
    <n v="3.6429143314651719E-2"/>
  </r>
  <r>
    <x v="2"/>
    <x v="3"/>
    <n v="403"/>
    <n v="66"/>
    <n v="382851"/>
    <n v="3.49"/>
    <n v="337"/>
    <n v="24313"/>
    <n v="8.80238003818718E-4"/>
    <x v="1"/>
    <x v="0"/>
    <n v="1.4354460576646239E-2"/>
  </r>
  <r>
    <x v="3"/>
    <x v="0"/>
    <n v="911"/>
    <n v="282"/>
    <n v="35664"/>
    <n v="6.92"/>
    <n v="629"/>
    <n v="18050"/>
    <n v="1.7636832660385824E-2"/>
    <x v="1"/>
    <x v="0"/>
    <n v="3.8337950138504155E-2"/>
  </r>
  <r>
    <x v="3"/>
    <x v="1"/>
    <n v="1779"/>
    <n v="109"/>
    <n v="26295"/>
    <n v="9.1199999999999992"/>
    <n v="1670"/>
    <n v="30635"/>
    <n v="6.3510173036698994E-2"/>
    <x v="1"/>
    <x v="0"/>
    <n v="2.9769871062510198E-2"/>
  </r>
  <r>
    <x v="3"/>
    <x v="2"/>
    <n v="1238"/>
    <n v="403"/>
    <n v="298421"/>
    <n v="3.5"/>
    <n v="835"/>
    <n v="31280"/>
    <n v="2.798060458211721E-3"/>
    <x v="1"/>
    <x v="0"/>
    <n v="1.118925831202046E-2"/>
  </r>
  <r>
    <x v="3"/>
    <x v="3"/>
    <n v="308"/>
    <n v="431"/>
    <n v="426184"/>
    <n v="2.62"/>
    <n v="-123"/>
    <n v="1783"/>
    <n v="-2.8860773750305035E-4"/>
    <x v="1"/>
    <x v="0"/>
    <n v="0.14694335389792487"/>
  </r>
  <r>
    <x v="4"/>
    <x v="0"/>
    <n v="226"/>
    <n v="445"/>
    <n v="419447"/>
    <n v="9.36"/>
    <n v="-219"/>
    <n v="9566"/>
    <n v="-5.2211602419375983E-4"/>
    <x v="1"/>
    <x v="0"/>
    <n v="9.7846539828559481E-2"/>
  </r>
  <r>
    <x v="4"/>
    <x v="1"/>
    <n v="505"/>
    <n v="441"/>
    <n v="220020"/>
    <n v="4.4800000000000004"/>
    <n v="64"/>
    <n v="42307"/>
    <n v="2.9088264703208797E-4"/>
    <x v="1"/>
    <x v="0"/>
    <n v="1.0589264187959441E-2"/>
  </r>
  <r>
    <x v="4"/>
    <x v="2"/>
    <n v="1420"/>
    <n v="63"/>
    <n v="315305"/>
    <n v="6.19"/>
    <n v="1357"/>
    <n v="5914"/>
    <n v="4.3037693661692649E-3"/>
    <x v="1"/>
    <x v="0"/>
    <n v="0.1046668921203923"/>
  </r>
  <r>
    <x v="4"/>
    <x v="3"/>
    <n v="144"/>
    <n v="53"/>
    <n v="113678"/>
    <n v="8.7200000000000006"/>
    <n v="91"/>
    <n v="30060"/>
    <n v="8.0050669434719116E-4"/>
    <x v="1"/>
    <x v="0"/>
    <n v="2.9008649367930805E-2"/>
  </r>
  <r>
    <x v="5"/>
    <x v="0"/>
    <n v="1757"/>
    <n v="85"/>
    <n v="58223"/>
    <n v="8.74"/>
    <n v="1672"/>
    <n v="22728"/>
    <n v="2.8717173625543171E-2"/>
    <x v="0"/>
    <x v="1"/>
    <n v="3.8454769447377683E-2"/>
  </r>
  <r>
    <x v="5"/>
    <x v="1"/>
    <n v="350"/>
    <n v="41"/>
    <n v="251694"/>
    <n v="1.91"/>
    <n v="309"/>
    <n v="38610"/>
    <n v="1.2276812319721568E-3"/>
    <x v="0"/>
    <x v="1"/>
    <n v="4.9469049469049462E-3"/>
  </r>
  <r>
    <x v="5"/>
    <x v="2"/>
    <n v="987"/>
    <n v="440"/>
    <n v="389810"/>
    <n v="4.66"/>
    <n v="547"/>
    <n v="2932"/>
    <n v="1.40324773607655E-3"/>
    <x v="0"/>
    <x v="1"/>
    <n v="0.15893587994542974"/>
  </r>
  <r>
    <x v="5"/>
    <x v="3"/>
    <n v="883"/>
    <n v="369"/>
    <n v="233694"/>
    <n v="2.88"/>
    <n v="514"/>
    <n v="15071"/>
    <n v="2.1994574101175039E-3"/>
    <x v="0"/>
    <x v="1"/>
    <n v="1.9109548138809634E-2"/>
  </r>
  <r>
    <x v="6"/>
    <x v="0"/>
    <n v="1960"/>
    <n v="115"/>
    <n v="154169"/>
    <n v="3.74"/>
    <n v="1845"/>
    <n v="10740"/>
    <n v="1.1967386439556591E-2"/>
    <x v="0"/>
    <x v="1"/>
    <n v="3.4823091247672251E-2"/>
  </r>
  <r>
    <x v="6"/>
    <x v="1"/>
    <n v="170"/>
    <n v="334"/>
    <n v="334626"/>
    <n v="6.44"/>
    <n v="-164"/>
    <n v="43420"/>
    <n v="-4.9009939454794306E-4"/>
    <x v="0"/>
    <x v="1"/>
    <n v="1.4831874712114234E-2"/>
  </r>
  <r>
    <x v="6"/>
    <x v="2"/>
    <n v="704"/>
    <n v="275"/>
    <n v="226002"/>
    <n v="8.56"/>
    <n v="429"/>
    <n v="32393"/>
    <n v="1.8982132901478749E-3"/>
    <x v="0"/>
    <x v="1"/>
    <n v="2.6425462291235761E-2"/>
  </r>
  <r>
    <x v="6"/>
    <x v="3"/>
    <n v="224"/>
    <n v="64"/>
    <n v="156683"/>
    <n v="4.5599999999999996"/>
    <n v="160"/>
    <n v="28474"/>
    <n v="1.0211701333265254E-3"/>
    <x v="0"/>
    <x v="1"/>
    <n v="1.6014609819484441E-2"/>
  </r>
  <r>
    <x v="7"/>
    <x v="0"/>
    <n v="508"/>
    <n v="349"/>
    <n v="473812"/>
    <n v="7.88"/>
    <n v="159"/>
    <n v="17328"/>
    <n v="3.3557613568250698E-4"/>
    <x v="0"/>
    <x v="1"/>
    <n v="4.5475530932594641E-2"/>
  </r>
  <r>
    <x v="7"/>
    <x v="1"/>
    <n v="1391"/>
    <n v="430"/>
    <n v="295032"/>
    <n v="7.86"/>
    <n v="961"/>
    <n v="26067"/>
    <n v="3.2572737872501967E-3"/>
    <x v="0"/>
    <x v="1"/>
    <n v="3.0153067096328694E-2"/>
  </r>
  <r>
    <x v="7"/>
    <x v="2"/>
    <n v="1701"/>
    <n v="385"/>
    <n v="198278"/>
    <n v="5.34"/>
    <n v="1316"/>
    <n v="32763"/>
    <n v="6.6371458255580548E-3"/>
    <x v="0"/>
    <x v="1"/>
    <n v="1.6298873729511949E-2"/>
  </r>
  <r>
    <x v="7"/>
    <x v="3"/>
    <n v="804"/>
    <n v="487"/>
    <n v="306564"/>
    <n v="5.52"/>
    <n v="317"/>
    <n v="26452"/>
    <n v="1.0340418313957282E-3"/>
    <x v="0"/>
    <x v="1"/>
    <n v="2.0867987297746859E-2"/>
  </r>
  <r>
    <x v="8"/>
    <x v="0"/>
    <n v="653"/>
    <n v="112"/>
    <n v="23664"/>
    <n v="4.05"/>
    <n v="541"/>
    <n v="15353"/>
    <n v="2.2861730899256253E-2"/>
    <x v="0"/>
    <x v="1"/>
    <n v="2.637920927506025E-2"/>
  </r>
  <r>
    <x v="8"/>
    <x v="1"/>
    <n v="160"/>
    <n v="478"/>
    <n v="435034"/>
    <n v="7.73"/>
    <n v="-318"/>
    <n v="4839"/>
    <n v="-7.3097734889686784E-4"/>
    <x v="0"/>
    <x v="1"/>
    <n v="0.15974374870841085"/>
  </r>
  <r>
    <x v="8"/>
    <x v="2"/>
    <n v="1756"/>
    <n v="261"/>
    <n v="287574"/>
    <n v="4.3600000000000003"/>
    <n v="1495"/>
    <n v="39272"/>
    <n v="5.1986619096302169E-3"/>
    <x v="0"/>
    <x v="1"/>
    <n v="1.110205744550825E-2"/>
  </r>
  <r>
    <x v="8"/>
    <x v="3"/>
    <n v="576"/>
    <n v="101"/>
    <n v="62499"/>
    <n v="3.48"/>
    <n v="475"/>
    <n v="16804"/>
    <n v="7.600121601945631E-3"/>
    <x v="0"/>
    <x v="1"/>
    <n v="2.070935491549631E-2"/>
  </r>
  <r>
    <x v="9"/>
    <x v="0"/>
    <n v="645"/>
    <n v="293"/>
    <n v="437968"/>
    <n v="7.83"/>
    <n v="352"/>
    <n v="49303"/>
    <n v="8.0371168669857163E-4"/>
    <x v="1"/>
    <x v="1"/>
    <n v="1.5881386528203152E-2"/>
  </r>
  <r>
    <x v="9"/>
    <x v="1"/>
    <n v="214"/>
    <n v="411"/>
    <n v="125034"/>
    <n v="6.11"/>
    <n v="-197"/>
    <n v="26455"/>
    <n v="-1.5755714445670778E-3"/>
    <x v="1"/>
    <x v="1"/>
    <n v="2.3095823095823097E-2"/>
  </r>
  <r>
    <x v="9"/>
    <x v="2"/>
    <n v="826"/>
    <n v="498"/>
    <n v="449994"/>
    <n v="9.43"/>
    <n v="328"/>
    <n v="12384"/>
    <n v="7.2889860753698943E-4"/>
    <x v="1"/>
    <x v="1"/>
    <n v="7.6146640826873391E-2"/>
  </r>
  <r>
    <x v="9"/>
    <x v="3"/>
    <n v="460"/>
    <n v="141"/>
    <n v="320650"/>
    <n v="4.04"/>
    <n v="319"/>
    <n v="49372"/>
    <n v="9.9485420240137223E-4"/>
    <x v="1"/>
    <x v="1"/>
    <n v="8.1827756623187222E-3"/>
  </r>
  <r>
    <x v="10"/>
    <x v="0"/>
    <n v="1528"/>
    <n v="203"/>
    <n v="489188"/>
    <n v="6.23"/>
    <n v="1325"/>
    <n v="47101"/>
    <n v="2.7085701202809553E-3"/>
    <x v="1"/>
    <x v="1"/>
    <n v="1.322689539500223E-2"/>
  </r>
  <r>
    <x v="10"/>
    <x v="1"/>
    <n v="1534"/>
    <n v="200"/>
    <n v="307612"/>
    <n v="6.01"/>
    <n v="1334"/>
    <n v="37903"/>
    <n v="4.3366318609156986E-3"/>
    <x v="1"/>
    <x v="1"/>
    <n v="1.5856264675619344E-2"/>
  </r>
  <r>
    <x v="10"/>
    <x v="2"/>
    <n v="485"/>
    <n v="448"/>
    <n v="434883"/>
    <n v="8.5500000000000007"/>
    <n v="37"/>
    <n v="33258"/>
    <n v="8.5080354946042954E-5"/>
    <x v="1"/>
    <x v="1"/>
    <n v="2.570810030669313E-2"/>
  </r>
  <r>
    <x v="10"/>
    <x v="3"/>
    <n v="1210"/>
    <n v="178"/>
    <n v="102042"/>
    <n v="5.42"/>
    <n v="1032"/>
    <n v="6915"/>
    <n v="1.011348268360087E-2"/>
    <x v="1"/>
    <x v="1"/>
    <n v="7.8380332610267542E-2"/>
  </r>
  <r>
    <x v="11"/>
    <x v="0"/>
    <n v="215"/>
    <n v="139"/>
    <n v="325444"/>
    <n v="3.25"/>
    <n v="76"/>
    <n v="35501"/>
    <n v="2.335271198731579E-4"/>
    <x v="1"/>
    <x v="1"/>
    <n v="9.1546716993887497E-3"/>
  </r>
  <r>
    <x v="11"/>
    <x v="1"/>
    <n v="1078"/>
    <n v="20"/>
    <n v="183924"/>
    <n v="8.84"/>
    <n v="1058"/>
    <n v="14203"/>
    <n v="5.7523759813836147E-3"/>
    <x v="1"/>
    <x v="1"/>
    <n v="6.224037175244667E-2"/>
  </r>
  <r>
    <x v="11"/>
    <x v="2"/>
    <n v="1751"/>
    <n v="86"/>
    <n v="188655"/>
    <n v="7.24"/>
    <n v="1665"/>
    <n v="22206"/>
    <n v="8.825634093981077E-3"/>
    <x v="1"/>
    <x v="1"/>
    <n v="3.2603800774565435E-2"/>
  </r>
  <r>
    <x v="11"/>
    <x v="3"/>
    <n v="221"/>
    <n v="31"/>
    <n v="87443"/>
    <n v="6.19"/>
    <n v="190"/>
    <n v="10283"/>
    <n v="2.1728440241071327E-3"/>
    <x v="1"/>
    <x v="1"/>
    <n v="6.0196440727414181E-2"/>
  </r>
  <r>
    <x v="12"/>
    <x v="0"/>
    <n v="1685"/>
    <n v="76"/>
    <n v="453799"/>
    <n v="5.71"/>
    <n v="1609"/>
    <n v="24913"/>
    <n v="3.5456226214689766E-3"/>
    <x v="1"/>
    <x v="1"/>
    <n v="2.29197607674708E-2"/>
  </r>
  <r>
    <x v="12"/>
    <x v="1"/>
    <n v="248"/>
    <n v="211"/>
    <n v="379380"/>
    <n v="9.0399999999999991"/>
    <n v="37"/>
    <n v="26925"/>
    <n v="9.7527544941747058E-5"/>
    <x v="1"/>
    <x v="1"/>
    <n v="3.3574744661095633E-2"/>
  </r>
  <r>
    <x v="12"/>
    <x v="2"/>
    <n v="1300"/>
    <n v="71"/>
    <n v="186454"/>
    <n v="3.91"/>
    <n v="1229"/>
    <n v="9942"/>
    <n v="6.5914381026955706E-3"/>
    <x v="1"/>
    <x v="1"/>
    <n v="3.9328102997384831E-2"/>
  </r>
  <r>
    <x v="12"/>
    <x v="3"/>
    <n v="422"/>
    <n v="394"/>
    <n v="239044"/>
    <n v="7.83"/>
    <n v="28"/>
    <n v="32929"/>
    <n v="1.1713324743561855E-4"/>
    <x v="1"/>
    <x v="1"/>
    <n v="2.3778432384827963E-2"/>
  </r>
  <r>
    <x v="13"/>
    <x v="0"/>
    <n v="1429"/>
    <n v="182"/>
    <n v="101332"/>
    <n v="7.16"/>
    <n v="1247"/>
    <n v="37829"/>
    <n v="1.2306082974775983E-2"/>
    <x v="2"/>
    <x v="2"/>
    <n v="1.8927278014221893E-2"/>
  </r>
  <r>
    <x v="13"/>
    <x v="1"/>
    <n v="1520"/>
    <n v="475"/>
    <n v="496982"/>
    <n v="6.41"/>
    <n v="1045"/>
    <n v="24384"/>
    <n v="2.1026918479944948E-3"/>
    <x v="2"/>
    <x v="2"/>
    <n v="2.6287729658792655E-2"/>
  </r>
  <r>
    <x v="13"/>
    <x v="2"/>
    <n v="557"/>
    <n v="360"/>
    <n v="318779"/>
    <n v="8.02"/>
    <n v="197"/>
    <n v="25797"/>
    <n v="6.1798299135137512E-4"/>
    <x v="2"/>
    <x v="2"/>
    <n v="3.108888630460906E-2"/>
  </r>
  <r>
    <x v="13"/>
    <x v="3"/>
    <n v="728"/>
    <n v="395"/>
    <n v="370971"/>
    <n v="3.86"/>
    <n v="333"/>
    <n v="12646"/>
    <n v="8.9764429025449434E-4"/>
    <x v="2"/>
    <x v="2"/>
    <n v="3.052348568717381E-2"/>
  </r>
  <r>
    <x v="14"/>
    <x v="0"/>
    <n v="1592"/>
    <n v="20"/>
    <n v="378054"/>
    <n v="9.09"/>
    <n v="1572"/>
    <n v="26663"/>
    <n v="4.1581361392816901E-3"/>
    <x v="0"/>
    <x v="3"/>
    <n v="3.4092187675805422E-2"/>
  </r>
  <r>
    <x v="14"/>
    <x v="1"/>
    <n v="1842"/>
    <n v="414"/>
    <n v="307524"/>
    <n v="1.76"/>
    <n v="1428"/>
    <n v="40478"/>
    <n v="4.6435400163889647E-3"/>
    <x v="0"/>
    <x v="3"/>
    <n v="4.3480409111122092E-3"/>
  </r>
  <r>
    <x v="14"/>
    <x v="2"/>
    <n v="751"/>
    <n v="491"/>
    <n v="434047"/>
    <n v="9.24"/>
    <n v="260"/>
    <n v="15476"/>
    <n v="5.990134708914012E-4"/>
    <x v="0"/>
    <x v="3"/>
    <n v="5.9705350219695009E-2"/>
  </r>
  <r>
    <x v="14"/>
    <x v="3"/>
    <n v="1409"/>
    <n v="309"/>
    <n v="64583"/>
    <n v="8.99"/>
    <n v="1100"/>
    <n v="10217"/>
    <n v="1.7032345973398571E-2"/>
    <x v="0"/>
    <x v="3"/>
    <n v="8.7990603895468339E-2"/>
  </r>
  <r>
    <x v="15"/>
    <x v="0"/>
    <n v="778"/>
    <n v="401"/>
    <n v="50793"/>
    <n v="3.4"/>
    <n v="377"/>
    <n v="21939"/>
    <n v="7.4222825979957871E-3"/>
    <x v="0"/>
    <x v="3"/>
    <n v="1.5497515839372806E-2"/>
  </r>
  <r>
    <x v="15"/>
    <x v="1"/>
    <n v="443"/>
    <n v="345"/>
    <n v="474162"/>
    <n v="9.1999999999999993"/>
    <n v="98"/>
    <n v="47462"/>
    <n v="2.0668041724136477E-4"/>
    <x v="0"/>
    <x v="3"/>
    <n v="1.9383928195187729E-2"/>
  </r>
  <r>
    <x v="15"/>
    <x v="2"/>
    <n v="1472"/>
    <n v="347"/>
    <n v="392355"/>
    <n v="8.59"/>
    <n v="1125"/>
    <n v="30270"/>
    <n v="2.8673012960201858E-3"/>
    <x v="0"/>
    <x v="3"/>
    <n v="2.8377931945820944E-2"/>
  </r>
  <r>
    <x v="15"/>
    <x v="3"/>
    <n v="123"/>
    <n v="155"/>
    <n v="119934"/>
    <n v="3.5"/>
    <n v="-32"/>
    <n v="5442"/>
    <n v="-2.6681341404439108E-4"/>
    <x v="0"/>
    <x v="3"/>
    <n v="6.4314590224182289E-2"/>
  </r>
  <r>
    <x v="16"/>
    <x v="0"/>
    <n v="817"/>
    <n v="151"/>
    <n v="422625"/>
    <n v="2.36"/>
    <n v="666"/>
    <n v="1083"/>
    <n v="1.5758651286601596E-3"/>
    <x v="0"/>
    <x v="3"/>
    <n v="0.21791320406278855"/>
  </r>
  <r>
    <x v="16"/>
    <x v="1"/>
    <n v="198"/>
    <n v="217"/>
    <n v="239753"/>
    <n v="7.36"/>
    <n v="-19"/>
    <n v="11901"/>
    <n v="-7.9248226299566635E-5"/>
    <x v="0"/>
    <x v="3"/>
    <n v="6.1843542559448787E-2"/>
  </r>
  <r>
    <x v="16"/>
    <x v="2"/>
    <n v="1911"/>
    <n v="231"/>
    <n v="268516"/>
    <n v="8.5500000000000007"/>
    <n v="1680"/>
    <n v="24018"/>
    <n v="6.2566104068286429E-3"/>
    <x v="0"/>
    <x v="3"/>
    <n v="3.5598301274044467E-2"/>
  </r>
  <r>
    <x v="16"/>
    <x v="3"/>
    <n v="1218"/>
    <n v="212"/>
    <n v="63177"/>
    <n v="8.1300000000000008"/>
    <n v="1006"/>
    <n v="38883"/>
    <n v="1.592351646960128E-2"/>
    <x v="0"/>
    <x v="3"/>
    <n v="2.0908880487616698E-2"/>
  </r>
  <r>
    <x v="17"/>
    <x v="0"/>
    <n v="1433"/>
    <n v="408"/>
    <n v="370269"/>
    <n v="3.3"/>
    <n v="1025"/>
    <n v="30575"/>
    <n v="2.7682576721248606E-3"/>
    <x v="0"/>
    <x v="3"/>
    <n v="1.079313164349959E-2"/>
  </r>
  <r>
    <x v="17"/>
    <x v="1"/>
    <n v="250"/>
    <n v="429"/>
    <n v="453423"/>
    <n v="1.77"/>
    <n v="-179"/>
    <n v="2315"/>
    <n v="-3.9477485703195471E-4"/>
    <x v="0"/>
    <x v="3"/>
    <n v="7.6457883369330445E-2"/>
  </r>
  <r>
    <x v="17"/>
    <x v="2"/>
    <n v="752"/>
    <n v="153"/>
    <n v="64906"/>
    <n v="2.09"/>
    <n v="599"/>
    <n v="12148"/>
    <n v="9.2287307798970819E-3"/>
    <x v="0"/>
    <x v="3"/>
    <n v="1.7204478103391502E-2"/>
  </r>
  <r>
    <x v="17"/>
    <x v="3"/>
    <n v="1918"/>
    <n v="212"/>
    <n v="94360"/>
    <n v="7.36"/>
    <n v="1706"/>
    <n v="36851"/>
    <n v="1.8079694785926241E-2"/>
    <x v="0"/>
    <x v="3"/>
    <n v="1.9972320968223389E-2"/>
  </r>
  <r>
    <x v="18"/>
    <x v="0"/>
    <n v="1939"/>
    <n v="67"/>
    <n v="187183"/>
    <n v="6.25"/>
    <n v="1872"/>
    <n v="41215"/>
    <n v="1.0000908202133741E-2"/>
    <x v="1"/>
    <x v="3"/>
    <n v="1.5164381899793763E-2"/>
  </r>
  <r>
    <x v="18"/>
    <x v="1"/>
    <n v="1929"/>
    <n v="267"/>
    <n v="379363"/>
    <n v="1.75"/>
    <n v="1662"/>
    <n v="43836"/>
    <n v="4.3810281972675247E-3"/>
    <x v="1"/>
    <x v="3"/>
    <n v="3.9921525686650245E-3"/>
  </r>
  <r>
    <x v="18"/>
    <x v="2"/>
    <n v="437"/>
    <n v="330"/>
    <n v="476486"/>
    <n v="4.97"/>
    <n v="107"/>
    <n v="4509"/>
    <n v="2.2456063766826309E-4"/>
    <x v="1"/>
    <x v="3"/>
    <n v="0.11022399645154136"/>
  </r>
  <r>
    <x v="18"/>
    <x v="3"/>
    <n v="307"/>
    <n v="189"/>
    <n v="117767"/>
    <n v="9.3000000000000007"/>
    <n v="118"/>
    <n v="27822"/>
    <n v="1.0019784829366461E-3"/>
    <x v="1"/>
    <x v="3"/>
    <n v="3.3426784558982105E-2"/>
  </r>
  <r>
    <x v="19"/>
    <x v="0"/>
    <n v="1527"/>
    <n v="303"/>
    <n v="388555"/>
    <n v="8.9"/>
    <n v="1224"/>
    <n v="36397"/>
    <n v="3.1501331857780751E-3"/>
    <x v="1"/>
    <x v="3"/>
    <n v="2.4452564771821853E-2"/>
  </r>
  <r>
    <x v="19"/>
    <x v="1"/>
    <n v="643"/>
    <n v="358"/>
    <n v="157599"/>
    <n v="3.88"/>
    <n v="285"/>
    <n v="7285"/>
    <n v="1.8083871090552605E-3"/>
    <x v="1"/>
    <x v="3"/>
    <n v="5.3260123541523673E-2"/>
  </r>
  <r>
    <x v="19"/>
    <x v="2"/>
    <n v="201"/>
    <n v="221"/>
    <n v="309772"/>
    <n v="5.9"/>
    <n v="-20"/>
    <n v="33174"/>
    <n v="-6.456361452939582E-5"/>
    <x v="1"/>
    <x v="3"/>
    <n v="1.7785012359076386E-2"/>
  </r>
  <r>
    <x v="19"/>
    <x v="3"/>
    <n v="414"/>
    <n v="47"/>
    <n v="199178"/>
    <n v="1.53"/>
    <n v="367"/>
    <n v="6742"/>
    <n v="1.8425729749269497E-3"/>
    <x v="1"/>
    <x v="3"/>
    <n v="2.26935627410264E-2"/>
  </r>
  <r>
    <x v="20"/>
    <x v="0"/>
    <n v="703"/>
    <n v="441"/>
    <n v="357089"/>
    <n v="6.5"/>
    <n v="262"/>
    <n v="32478"/>
    <n v="7.3371064356504961E-4"/>
    <x v="1"/>
    <x v="3"/>
    <n v="2.0013547632243365E-2"/>
  </r>
  <r>
    <x v="20"/>
    <x v="1"/>
    <n v="508"/>
    <n v="69"/>
    <n v="23492"/>
    <n v="3.16"/>
    <n v="439"/>
    <n v="42824"/>
    <n v="1.8687212668142345E-2"/>
    <x v="1"/>
    <x v="3"/>
    <n v="7.3790397907715303E-3"/>
  </r>
  <r>
    <x v="20"/>
    <x v="2"/>
    <n v="697"/>
    <n v="61"/>
    <n v="258287"/>
    <n v="8.25"/>
    <n v="636"/>
    <n v="21208"/>
    <n v="2.4623771231227277E-3"/>
    <x v="1"/>
    <x v="3"/>
    <n v="3.8900414937759337E-2"/>
  </r>
  <r>
    <x v="20"/>
    <x v="3"/>
    <n v="1707"/>
    <n v="223"/>
    <n v="256910"/>
    <n v="5.41"/>
    <n v="1484"/>
    <n v="44321"/>
    <n v="5.7763419096181542E-3"/>
    <x v="1"/>
    <x v="3"/>
    <n v="1.2206403285124434E-2"/>
  </r>
  <r>
    <x v="21"/>
    <x v="0"/>
    <n v="642"/>
    <n v="66"/>
    <n v="346522"/>
    <n v="5.85"/>
    <n v="576"/>
    <n v="13116"/>
    <n v="1.6622321237901201E-3"/>
    <x v="1"/>
    <x v="3"/>
    <n v="4.4602012808783162E-2"/>
  </r>
  <r>
    <x v="21"/>
    <x v="1"/>
    <n v="859"/>
    <n v="473"/>
    <n v="209987"/>
    <n v="4.46"/>
    <n v="386"/>
    <n v="30214"/>
    <n v="1.8382090319876945E-3"/>
    <x v="1"/>
    <x v="3"/>
    <n v="1.4761368901833587E-2"/>
  </r>
  <r>
    <x v="21"/>
    <x v="2"/>
    <n v="191"/>
    <n v="154"/>
    <n v="240550"/>
    <n v="5.22"/>
    <n v="37"/>
    <n v="15827"/>
    <n v="1.5381417584701726E-4"/>
    <x v="1"/>
    <x v="3"/>
    <n v="3.2981613698110826E-2"/>
  </r>
  <r>
    <x v="21"/>
    <x v="3"/>
    <n v="1814"/>
    <n v="157"/>
    <n v="305827"/>
    <n v="1.99"/>
    <n v="1657"/>
    <n v="46643"/>
    <n v="5.4180958515762179E-3"/>
    <x v="1"/>
    <x v="3"/>
    <n v="4.2664494136311982E-3"/>
  </r>
  <r>
    <x v="22"/>
    <x v="0"/>
    <n v="1466"/>
    <n v="69"/>
    <n v="54935"/>
    <n v="6.85"/>
    <n v="1397"/>
    <n v="36484"/>
    <n v="2.5430053699827069E-2"/>
    <x v="1"/>
    <x v="3"/>
    <n v="1.8775353579651353E-2"/>
  </r>
  <r>
    <x v="22"/>
    <x v="1"/>
    <n v="947"/>
    <n v="407"/>
    <n v="319186"/>
    <n v="3.32"/>
    <n v="540"/>
    <n v="4996"/>
    <n v="1.6918035252172713E-3"/>
    <x v="1"/>
    <x v="3"/>
    <n v="6.6453162530024021E-2"/>
  </r>
  <r>
    <x v="22"/>
    <x v="2"/>
    <n v="1821"/>
    <n v="218"/>
    <n v="439080"/>
    <n v="5.68"/>
    <n v="1603"/>
    <n v="36095"/>
    <n v="3.6508153411678964E-3"/>
    <x v="1"/>
    <x v="3"/>
    <n v="1.5736251558387589E-2"/>
  </r>
  <r>
    <x v="22"/>
    <x v="3"/>
    <n v="1507"/>
    <n v="463"/>
    <n v="258944"/>
    <n v="6.08"/>
    <n v="1044"/>
    <n v="16443"/>
    <n v="4.0317597627286209E-3"/>
    <x v="1"/>
    <x v="3"/>
    <n v="3.6976220884266865E-2"/>
  </r>
  <r>
    <x v="23"/>
    <x v="0"/>
    <n v="1075"/>
    <n v="173"/>
    <n v="51395"/>
    <n v="4.66"/>
    <n v="902"/>
    <n v="47812"/>
    <n v="1.7550345364335054E-2"/>
    <x v="2"/>
    <x v="2"/>
    <n v="9.7465071530159798E-3"/>
  </r>
  <r>
    <x v="23"/>
    <x v="1"/>
    <n v="171"/>
    <n v="277"/>
    <n v="309483"/>
    <n v="8.6999999999999993"/>
    <n v="-106"/>
    <n v="38452"/>
    <n v="-3.4250669665215861E-4"/>
    <x v="2"/>
    <x v="2"/>
    <n v="2.2625611151565583E-2"/>
  </r>
  <r>
    <x v="23"/>
    <x v="2"/>
    <n v="1487"/>
    <n v="337"/>
    <n v="87305"/>
    <n v="2.46"/>
    <n v="1150"/>
    <n v="30428"/>
    <n v="1.3172212358971423E-2"/>
    <x v="2"/>
    <x v="2"/>
    <n v="8.0846588668331797E-3"/>
  </r>
  <r>
    <x v="23"/>
    <x v="3"/>
    <n v="454"/>
    <n v="105"/>
    <n v="121091"/>
    <n v="7.97"/>
    <n v="349"/>
    <n v="9269"/>
    <n v="2.8821299683708945E-3"/>
    <x v="2"/>
    <x v="2"/>
    <n v="8.598554320854461E-2"/>
  </r>
  <r>
    <x v="24"/>
    <x v="0"/>
    <n v="187"/>
    <n v="236"/>
    <n v="51087"/>
    <n v="9.41"/>
    <n v="-49"/>
    <n v="29533"/>
    <n v="-9.5914811987394058E-4"/>
    <x v="2"/>
    <x v="2"/>
    <n v="3.1862662106795787E-2"/>
  </r>
  <r>
    <x v="24"/>
    <x v="1"/>
    <n v="513"/>
    <n v="441"/>
    <n v="338847"/>
    <n v="2.68"/>
    <n v="72"/>
    <n v="39997"/>
    <n v="2.1248528096751631E-4"/>
    <x v="2"/>
    <x v="2"/>
    <n v="6.7005025376903268E-3"/>
  </r>
  <r>
    <x v="24"/>
    <x v="2"/>
    <n v="628"/>
    <n v="183"/>
    <n v="487523"/>
    <n v="7.32"/>
    <n v="445"/>
    <n v="5391"/>
    <n v="9.1277744844858602E-4"/>
    <x v="2"/>
    <x v="2"/>
    <n v="0.13578185865331108"/>
  </r>
  <r>
    <x v="24"/>
    <x v="3"/>
    <n v="278"/>
    <n v="218"/>
    <n v="301695"/>
    <n v="4.68"/>
    <n v="60"/>
    <n v="22373"/>
    <n v="1.9887634863023914E-4"/>
    <x v="2"/>
    <x v="2"/>
    <n v="2.0918070889018012E-2"/>
  </r>
  <r>
    <x v="25"/>
    <x v="0"/>
    <n v="1854"/>
    <n v="161"/>
    <n v="282466"/>
    <n v="5.17"/>
    <n v="1693"/>
    <n v="1810"/>
    <n v="5.9936417126309005E-3"/>
    <x v="2"/>
    <x v="2"/>
    <n v="0.28563535911602211"/>
  </r>
  <r>
    <x v="25"/>
    <x v="1"/>
    <n v="1710"/>
    <n v="378"/>
    <n v="336661"/>
    <n v="6.2"/>
    <n v="1332"/>
    <n v="28498"/>
    <n v="3.9565022381564839E-3"/>
    <x v="2"/>
    <x v="2"/>
    <n v="2.1755912695627763E-2"/>
  </r>
  <r>
    <x v="25"/>
    <x v="2"/>
    <n v="330"/>
    <n v="232"/>
    <n v="88455"/>
    <n v="2.69"/>
    <n v="98"/>
    <n v="39530"/>
    <n v="1.1079079758069075E-3"/>
    <x v="2"/>
    <x v="2"/>
    <n v="6.8049582595497088E-3"/>
  </r>
  <r>
    <x v="25"/>
    <x v="3"/>
    <n v="1293"/>
    <n v="408"/>
    <n v="62535"/>
    <n v="8.9"/>
    <n v="885"/>
    <n v="37876"/>
    <n v="1.4152074838090669E-2"/>
    <x v="2"/>
    <x v="2"/>
    <n v="2.349772943288626E-2"/>
  </r>
  <r>
    <x v="26"/>
    <x v="0"/>
    <n v="1696"/>
    <n v="71"/>
    <n v="421957"/>
    <n v="3.79"/>
    <n v="1625"/>
    <n v="36103"/>
    <n v="3.8511033114748661E-3"/>
    <x v="2"/>
    <x v="2"/>
    <n v="1.0497742569869541E-2"/>
  </r>
  <r>
    <x v="26"/>
    <x v="1"/>
    <n v="1902"/>
    <n v="196"/>
    <n v="470269"/>
    <n v="4.79"/>
    <n v="1706"/>
    <n v="26103"/>
    <n v="3.6277109484146308E-3"/>
    <x v="2"/>
    <x v="2"/>
    <n v="1.8350381182239587E-2"/>
  </r>
  <r>
    <x v="26"/>
    <x v="2"/>
    <n v="1441"/>
    <n v="268"/>
    <n v="309904"/>
    <n v="6.37"/>
    <n v="1173"/>
    <n v="3455"/>
    <n v="3.7850431101244257E-3"/>
    <x v="2"/>
    <x v="2"/>
    <n v="0.18437047756874095"/>
  </r>
  <r>
    <x v="26"/>
    <x v="3"/>
    <n v="452"/>
    <n v="161"/>
    <n v="221274"/>
    <n v="2.65"/>
    <n v="291"/>
    <n v="40888"/>
    <n v="1.3151115811166245E-3"/>
    <x v="2"/>
    <x v="2"/>
    <n v="6.4811191547642349E-3"/>
  </r>
  <r>
    <x v="27"/>
    <x v="0"/>
    <n v="1494"/>
    <n v="375"/>
    <n v="220616"/>
    <n v="1.81"/>
    <n v="1119"/>
    <n v="22724"/>
    <n v="5.0721615839286359E-3"/>
    <x v="2"/>
    <x v="2"/>
    <n v="7.9651469811652872E-3"/>
  </r>
  <r>
    <x v="27"/>
    <x v="1"/>
    <n v="1514"/>
    <n v="141"/>
    <n v="35842"/>
    <n v="7.47"/>
    <n v="1373"/>
    <n v="18601"/>
    <n v="3.8307014117515761E-2"/>
    <x v="2"/>
    <x v="2"/>
    <n v="4.0159131229503792E-2"/>
  </r>
  <r>
    <x v="27"/>
    <x v="2"/>
    <n v="1937"/>
    <n v="210"/>
    <n v="20607"/>
    <n v="4.2"/>
    <n v="1727"/>
    <n v="20861"/>
    <n v="8.3806473528412681E-2"/>
    <x v="2"/>
    <x v="2"/>
    <n v="2.0133263026700543E-2"/>
  </r>
  <r>
    <x v="27"/>
    <x v="3"/>
    <n v="736"/>
    <n v="163"/>
    <n v="451894"/>
    <n v="5.43"/>
    <n v="573"/>
    <n v="46625"/>
    <n v="1.2679964770499277E-3"/>
    <x v="2"/>
    <x v="2"/>
    <n v="1.1646112600536192E-2"/>
  </r>
  <r>
    <x v="28"/>
    <x v="0"/>
    <n v="1502"/>
    <n v="70"/>
    <n v="465553"/>
    <n v="3.32"/>
    <n v="1432"/>
    <n v="20692"/>
    <n v="3.0759118725472716E-3"/>
    <x v="0"/>
    <x v="4"/>
    <n v="1.6044848250531606E-2"/>
  </r>
  <r>
    <x v="28"/>
    <x v="1"/>
    <n v="1623"/>
    <n v="246"/>
    <n v="415815"/>
    <n v="8.11"/>
    <n v="1377"/>
    <n v="18656"/>
    <n v="3.311568846722701E-3"/>
    <x v="0"/>
    <x v="4"/>
    <n v="4.3471269296740993E-2"/>
  </r>
  <r>
    <x v="28"/>
    <x v="2"/>
    <n v="1592"/>
    <n v="233"/>
    <n v="327183"/>
    <n v="6.66"/>
    <n v="1359"/>
    <n v="13316"/>
    <n v="4.1536387893013997E-3"/>
    <x v="0"/>
    <x v="4"/>
    <n v="5.0015019525383002E-2"/>
  </r>
  <r>
    <x v="28"/>
    <x v="3"/>
    <n v="1004"/>
    <n v="128"/>
    <n v="488901"/>
    <n v="8.09"/>
    <n v="876"/>
    <n v="49558"/>
    <n v="1.7917737946946315E-3"/>
    <x v="0"/>
    <x v="4"/>
    <n v="1.6324306872755153E-2"/>
  </r>
  <r>
    <x v="29"/>
    <x v="0"/>
    <n v="1092"/>
    <n v="408"/>
    <n v="280795"/>
    <n v="8.44"/>
    <n v="684"/>
    <n v="4683"/>
    <n v="2.4359408109118751E-3"/>
    <x v="0"/>
    <x v="4"/>
    <n v="0.18022635062993805"/>
  </r>
  <r>
    <x v="29"/>
    <x v="1"/>
    <n v="1155"/>
    <n v="425"/>
    <n v="93347"/>
    <n v="2.02"/>
    <n v="730"/>
    <n v="47502"/>
    <n v="7.8202834584935772E-3"/>
    <x v="0"/>
    <x v="4"/>
    <n v="4.2524525283145972E-3"/>
  </r>
  <r>
    <x v="29"/>
    <x v="2"/>
    <n v="1137"/>
    <n v="226"/>
    <n v="81119"/>
    <n v="7.74"/>
    <n v="911"/>
    <n v="35359"/>
    <n v="1.1230414576116569E-2"/>
    <x v="0"/>
    <x v="4"/>
    <n v="2.1889759325772785E-2"/>
  </r>
  <r>
    <x v="29"/>
    <x v="3"/>
    <n v="1900"/>
    <n v="311"/>
    <n v="25177"/>
    <n v="2.89"/>
    <n v="1589"/>
    <n v="14154"/>
    <n v="6.3113158835445049E-2"/>
    <x v="0"/>
    <x v="4"/>
    <n v="2.0418256323300833E-2"/>
  </r>
  <r>
    <x v="30"/>
    <x v="0"/>
    <n v="1814"/>
    <n v="49"/>
    <n v="140804"/>
    <n v="1.76"/>
    <n v="1765"/>
    <n v="4313"/>
    <n v="1.253515525127127E-2"/>
    <x v="0"/>
    <x v="4"/>
    <n v="4.0806862972409E-2"/>
  </r>
  <r>
    <x v="30"/>
    <x v="1"/>
    <n v="1980"/>
    <n v="204"/>
    <n v="379431"/>
    <n v="3.09"/>
    <n v="1776"/>
    <n v="25140"/>
    <n v="4.6806929323118035E-3"/>
    <x v="0"/>
    <x v="4"/>
    <n v="1.2291169451073985E-2"/>
  </r>
  <r>
    <x v="30"/>
    <x v="2"/>
    <n v="1786"/>
    <n v="257"/>
    <n v="274831"/>
    <n v="4.68"/>
    <n v="1529"/>
    <n v="9118"/>
    <n v="5.5634189738421064E-3"/>
    <x v="0"/>
    <x v="4"/>
    <n v="5.1327045404694002E-2"/>
  </r>
  <r>
    <x v="30"/>
    <x v="3"/>
    <n v="1495"/>
    <n v="35"/>
    <n v="136845"/>
    <n v="4.4800000000000004"/>
    <n v="1460"/>
    <n v="39931"/>
    <n v="1.0669005078738719E-2"/>
    <x v="0"/>
    <x v="4"/>
    <n v="1.1219353384588416E-2"/>
  </r>
  <r>
    <x v="31"/>
    <x v="0"/>
    <n v="1013"/>
    <n v="110"/>
    <n v="466382"/>
    <n v="5.3"/>
    <n v="903"/>
    <n v="37132"/>
    <n v="1.9361810704529763E-3"/>
    <x v="0"/>
    <x v="4"/>
    <n v="1.4273402994721532E-2"/>
  </r>
  <r>
    <x v="31"/>
    <x v="1"/>
    <n v="816"/>
    <n v="196"/>
    <n v="95728"/>
    <n v="8.1999999999999993"/>
    <n v="620"/>
    <n v="17951"/>
    <n v="6.4766839378238338E-3"/>
    <x v="0"/>
    <x v="4"/>
    <n v="4.5679906411899056E-2"/>
  </r>
  <r>
    <x v="31"/>
    <x v="2"/>
    <n v="1633"/>
    <n v="445"/>
    <n v="371156"/>
    <n v="2.2200000000000002"/>
    <n v="1188"/>
    <n v="2798"/>
    <n v="3.2008104408927781E-3"/>
    <x v="0"/>
    <x v="4"/>
    <n v="7.9342387419585436E-2"/>
  </r>
  <r>
    <x v="31"/>
    <x v="3"/>
    <n v="891"/>
    <n v="45"/>
    <n v="95410"/>
    <n v="8.33"/>
    <n v="846"/>
    <n v="15045"/>
    <n v="8.8669950738916262E-3"/>
    <x v="0"/>
    <x v="4"/>
    <n v="5.5367231638418071E-2"/>
  </r>
  <r>
    <x v="32"/>
    <x v="0"/>
    <n v="1855"/>
    <n v="133"/>
    <n v="349413"/>
    <n v="3.3"/>
    <n v="1722"/>
    <n v="14548"/>
    <n v="4.9282654051223049E-3"/>
    <x v="1"/>
    <x v="4"/>
    <n v="2.2683530382183115E-2"/>
  </r>
  <r>
    <x v="32"/>
    <x v="1"/>
    <n v="651"/>
    <n v="353"/>
    <n v="224699"/>
    <n v="5.61"/>
    <n v="298"/>
    <n v="45708"/>
    <n v="1.3262186302564765E-3"/>
    <x v="1"/>
    <x v="4"/>
    <n v="1.2273562614859544E-2"/>
  </r>
  <r>
    <x v="32"/>
    <x v="2"/>
    <n v="118"/>
    <n v="262"/>
    <n v="487896"/>
    <n v="2.56"/>
    <n v="-144"/>
    <n v="12350"/>
    <n v="-2.9514486693885583E-4"/>
    <x v="1"/>
    <x v="4"/>
    <n v="2.0728744939271255E-2"/>
  </r>
  <r>
    <x v="32"/>
    <x v="3"/>
    <n v="1331"/>
    <n v="430"/>
    <n v="14437"/>
    <n v="3.29"/>
    <n v="901"/>
    <n v="40868"/>
    <n v="6.2409087760615087E-2"/>
    <x v="1"/>
    <x v="4"/>
    <n v="8.0503083096799457E-3"/>
  </r>
  <r>
    <x v="33"/>
    <x v="0"/>
    <n v="1748"/>
    <n v="176"/>
    <n v="383681"/>
    <n v="9.24"/>
    <n v="1572"/>
    <n v="43122"/>
    <n v="4.0971536250166149E-3"/>
    <x v="1"/>
    <x v="4"/>
    <n v="2.1427577570613608E-2"/>
  </r>
  <r>
    <x v="33"/>
    <x v="1"/>
    <n v="663"/>
    <n v="236"/>
    <n v="479490"/>
    <n v="4.51"/>
    <n v="427"/>
    <n v="23853"/>
    <n v="8.9052952094934197E-4"/>
    <x v="1"/>
    <x v="4"/>
    <n v="1.8907474950739949E-2"/>
  </r>
  <r>
    <x v="33"/>
    <x v="2"/>
    <n v="1040"/>
    <n v="149"/>
    <n v="124404"/>
    <n v="5.23"/>
    <n v="891"/>
    <n v="45380"/>
    <n v="7.1621491270377159E-3"/>
    <x v="1"/>
    <x v="4"/>
    <n v="1.1524900837373293E-2"/>
  </r>
  <r>
    <x v="33"/>
    <x v="3"/>
    <n v="1166"/>
    <n v="442"/>
    <n v="336949"/>
    <n v="4.68"/>
    <n v="724"/>
    <n v="7705"/>
    <n v="2.1486931256659019E-3"/>
    <x v="1"/>
    <x v="4"/>
    <n v="6.0739779364049312E-2"/>
  </r>
  <r>
    <x v="34"/>
    <x v="0"/>
    <n v="115"/>
    <n v="281"/>
    <n v="357265"/>
    <n v="9.23"/>
    <n v="-166"/>
    <n v="25525"/>
    <n v="-4.6464109274628077E-4"/>
    <x v="1"/>
    <x v="4"/>
    <n v="3.6160626836434867E-2"/>
  </r>
  <r>
    <x v="34"/>
    <x v="1"/>
    <n v="1249"/>
    <n v="351"/>
    <n v="321307"/>
    <n v="6.37"/>
    <n v="898"/>
    <n v="20560"/>
    <n v="2.7948348464241365E-3"/>
    <x v="1"/>
    <x v="4"/>
    <n v="3.0982490272373545E-2"/>
  </r>
  <r>
    <x v="34"/>
    <x v="2"/>
    <n v="1501"/>
    <n v="75"/>
    <n v="262569"/>
    <n v="2.0099999999999998"/>
    <n v="1426"/>
    <n v="19119"/>
    <n v="5.4309533874905263E-3"/>
    <x v="1"/>
    <x v="4"/>
    <n v="1.0513102149694021E-2"/>
  </r>
  <r>
    <x v="34"/>
    <x v="3"/>
    <n v="1411"/>
    <n v="186"/>
    <n v="461669"/>
    <n v="3.72"/>
    <n v="1225"/>
    <n v="43999"/>
    <n v="2.6534161921203288E-3"/>
    <x v="1"/>
    <x v="4"/>
    <n v="8.4547376076729019E-3"/>
  </r>
  <r>
    <x v="35"/>
    <x v="0"/>
    <n v="1556"/>
    <n v="476"/>
    <n v="351556"/>
    <n v="3.89"/>
    <n v="1080"/>
    <n v="10825"/>
    <n v="3.0720567989168156E-3"/>
    <x v="1"/>
    <x v="4"/>
    <n v="3.5935334872979216E-2"/>
  </r>
  <r>
    <x v="35"/>
    <x v="1"/>
    <n v="1159"/>
    <n v="411"/>
    <n v="135987"/>
    <n v="8.6999999999999993"/>
    <n v="748"/>
    <n v="40323"/>
    <n v="5.5005257855530306E-3"/>
    <x v="1"/>
    <x v="4"/>
    <n v="2.1575775611933634E-2"/>
  </r>
  <r>
    <x v="35"/>
    <x v="2"/>
    <n v="927"/>
    <n v="358"/>
    <n v="177554"/>
    <n v="6.95"/>
    <n v="569"/>
    <n v="48270"/>
    <n v="3.2046588643454949E-3"/>
    <x v="1"/>
    <x v="4"/>
    <n v="1.4398176921483324E-2"/>
  </r>
  <r>
    <x v="35"/>
    <x v="3"/>
    <n v="152"/>
    <n v="355"/>
    <n v="270766"/>
    <n v="9.48"/>
    <n v="-203"/>
    <n v="18001"/>
    <n v="-7.4972485467156139E-4"/>
    <x v="1"/>
    <x v="4"/>
    <n v="5.266374090328315E-2"/>
  </r>
  <r>
    <x v="36"/>
    <x v="0"/>
    <n v="1957"/>
    <n v="234"/>
    <n v="222126"/>
    <n v="4.6100000000000003"/>
    <n v="1723"/>
    <n v="3314"/>
    <n v="7.7568587198256845E-3"/>
    <x v="1"/>
    <x v="4"/>
    <n v="0.13910681955340978"/>
  </r>
  <r>
    <x v="36"/>
    <x v="1"/>
    <n v="1294"/>
    <n v="382"/>
    <n v="309914"/>
    <n v="8.0299999999999994"/>
    <n v="912"/>
    <n v="23489"/>
    <n v="2.9427518601934728E-3"/>
    <x v="1"/>
    <x v="4"/>
    <n v="3.418621482396015E-2"/>
  </r>
  <r>
    <x v="36"/>
    <x v="2"/>
    <n v="1587"/>
    <n v="385"/>
    <n v="126582"/>
    <n v="6.99"/>
    <n v="1202"/>
    <n v="42832"/>
    <n v="9.4958208908059605E-3"/>
    <x v="1"/>
    <x v="4"/>
    <n v="1.6319574150168097E-2"/>
  </r>
  <r>
    <x v="36"/>
    <x v="3"/>
    <n v="1707"/>
    <n v="263"/>
    <n v="485280"/>
    <n v="9.0299999999999994"/>
    <n v="1444"/>
    <n v="24494"/>
    <n v="2.9756017144741179E-3"/>
    <x v="1"/>
    <x v="4"/>
    <n v="3.6866171307258923E-2"/>
  </r>
  <r>
    <x v="37"/>
    <x v="0"/>
    <n v="1138"/>
    <n v="173"/>
    <n v="453243"/>
    <n v="2.86"/>
    <n v="965"/>
    <n v="44097"/>
    <n v="2.1291007252180398E-3"/>
    <x v="2"/>
    <x v="2"/>
    <n v="6.4857019751910563E-3"/>
  </r>
  <r>
    <x v="37"/>
    <x v="1"/>
    <n v="1895"/>
    <n v="305"/>
    <n v="104967"/>
    <n v="3.85"/>
    <n v="1590"/>
    <n v="31853"/>
    <n v="1.5147617822744291E-2"/>
    <x v="2"/>
    <x v="2"/>
    <n v="1.2086773616299878E-2"/>
  </r>
  <r>
    <x v="37"/>
    <x v="2"/>
    <n v="362"/>
    <n v="399"/>
    <n v="145608"/>
    <n v="7.3"/>
    <n v="-37"/>
    <n v="37636"/>
    <n v="-2.5410691720235154E-4"/>
    <x v="2"/>
    <x v="2"/>
    <n v="1.9396322669784249E-2"/>
  </r>
  <r>
    <x v="37"/>
    <x v="3"/>
    <n v="1662"/>
    <n v="487"/>
    <n v="105980"/>
    <n v="9.08"/>
    <n v="1175"/>
    <n v="22996"/>
    <n v="1.1086997546706926E-2"/>
    <x v="2"/>
    <x v="2"/>
    <n v="3.9485127848321443E-2"/>
  </r>
  <r>
    <x v="38"/>
    <x v="0"/>
    <n v="1440"/>
    <n v="65"/>
    <n v="126524"/>
    <n v="4.34"/>
    <n v="1375"/>
    <n v="49772"/>
    <n v="1.0867503398564699E-2"/>
    <x v="2"/>
    <x v="2"/>
    <n v="8.7197621152455187E-3"/>
  </r>
  <r>
    <x v="38"/>
    <x v="1"/>
    <n v="1884"/>
    <n v="177"/>
    <n v="230448"/>
    <n v="7.8"/>
    <n v="1707"/>
    <n v="22713"/>
    <n v="7.4073109768798169E-3"/>
    <x v="2"/>
    <x v="2"/>
    <n v="3.4341566503764361E-2"/>
  </r>
  <r>
    <x v="38"/>
    <x v="2"/>
    <n v="861"/>
    <n v="153"/>
    <n v="317007"/>
    <n v="3.85"/>
    <n v="708"/>
    <n v="8718"/>
    <n v="2.2333891680625349E-3"/>
    <x v="2"/>
    <x v="2"/>
    <n v="4.4161504932323931E-2"/>
  </r>
  <r>
    <x v="38"/>
    <x v="3"/>
    <n v="1063"/>
    <n v="47"/>
    <n v="464239"/>
    <n v="6.58"/>
    <n v="1016"/>
    <n v="39031"/>
    <n v="2.1885278918832756E-3"/>
    <x v="2"/>
    <x v="2"/>
    <n v="1.6858394609413033E-2"/>
  </r>
  <r>
    <x v="39"/>
    <x v="0"/>
    <n v="1371"/>
    <n v="56"/>
    <n v="257579"/>
    <n v="8.6199999999999992"/>
    <n v="1315"/>
    <n v="33799"/>
    <n v="5.1052298518124532E-3"/>
    <x v="2"/>
    <x v="2"/>
    <n v="2.5503713127607325E-2"/>
  </r>
  <r>
    <x v="39"/>
    <x v="1"/>
    <n v="345"/>
    <n v="464"/>
    <n v="366881"/>
    <n v="4.55"/>
    <n v="-119"/>
    <n v="20553"/>
    <n v="-3.2435585380545735E-4"/>
    <x v="2"/>
    <x v="2"/>
    <n v="2.2137887413029727E-2"/>
  </r>
  <r>
    <x v="39"/>
    <x v="2"/>
    <n v="946"/>
    <n v="47"/>
    <n v="466575"/>
    <n v="8.33"/>
    <n v="899"/>
    <n v="10002"/>
    <n v="1.9268070513850934E-3"/>
    <x v="2"/>
    <x v="2"/>
    <n v="8.3283343331333734E-2"/>
  </r>
  <r>
    <x v="39"/>
    <x v="3"/>
    <n v="510"/>
    <n v="195"/>
    <n v="224534"/>
    <n v="9.4"/>
    <n v="315"/>
    <n v="30987"/>
    <n v="1.4029055733207443E-3"/>
    <x v="2"/>
    <x v="2"/>
    <n v="3.0335301900797113E-2"/>
  </r>
  <r>
    <x v="40"/>
    <x v="0"/>
    <n v="393"/>
    <n v="181"/>
    <n v="462142"/>
    <n v="7.23"/>
    <n v="212"/>
    <n v="6296"/>
    <n v="4.5873346287504706E-4"/>
    <x v="2"/>
    <x v="2"/>
    <n v="0.11483481575603557"/>
  </r>
  <r>
    <x v="40"/>
    <x v="1"/>
    <n v="1098"/>
    <n v="190"/>
    <n v="340842"/>
    <n v="9.39"/>
    <n v="908"/>
    <n v="21539"/>
    <n v="2.6639909400836752E-3"/>
    <x v="2"/>
    <x v="2"/>
    <n v="4.3595338687961373E-2"/>
  </r>
  <r>
    <x v="40"/>
    <x v="2"/>
    <n v="1399"/>
    <n v="49"/>
    <n v="12471"/>
    <n v="5.12"/>
    <n v="1350"/>
    <n v="14722"/>
    <n v="0.10825114265095021"/>
    <x v="2"/>
    <x v="2"/>
    <n v="3.4777883439750037E-2"/>
  </r>
  <r>
    <x v="40"/>
    <x v="3"/>
    <n v="1658"/>
    <n v="416"/>
    <n v="98397"/>
    <n v="6.11"/>
    <n v="1242"/>
    <n v="11383"/>
    <n v="1.2622336046830695E-2"/>
    <x v="2"/>
    <x v="2"/>
    <n v="5.3676535184046394E-2"/>
  </r>
  <r>
    <x v="41"/>
    <x v="0"/>
    <n v="1102"/>
    <n v="422"/>
    <n v="410330"/>
    <n v="7.74"/>
    <n v="680"/>
    <n v="9480"/>
    <n v="1.6572027392586454E-3"/>
    <x v="2"/>
    <x v="2"/>
    <n v="8.1645569620253169E-2"/>
  </r>
  <r>
    <x v="41"/>
    <x v="1"/>
    <n v="1358"/>
    <n v="242"/>
    <n v="342129"/>
    <n v="4.9400000000000004"/>
    <n v="1116"/>
    <n v="29116"/>
    <n v="3.2619275185675578E-3"/>
    <x v="2"/>
    <x v="2"/>
    <n v="1.6966616293446903E-2"/>
  </r>
  <r>
    <x v="41"/>
    <x v="2"/>
    <n v="1077"/>
    <n v="216"/>
    <n v="12447"/>
    <n v="1.8"/>
    <n v="861"/>
    <n v="14068"/>
    <n v="6.9173294769824048E-2"/>
    <x v="2"/>
    <x v="2"/>
    <n v="1.2794995735001421E-2"/>
  </r>
  <r>
    <x v="41"/>
    <x v="3"/>
    <n v="1596"/>
    <n v="211"/>
    <n v="17380"/>
    <n v="8.64"/>
    <n v="1385"/>
    <n v="35801"/>
    <n v="7.9689298043728429E-2"/>
    <x v="2"/>
    <x v="2"/>
    <n v="2.4133404094857685E-2"/>
  </r>
  <r>
    <x v="42"/>
    <x v="0"/>
    <n v="490"/>
    <n v="29"/>
    <n v="364810"/>
    <n v="1.53"/>
    <n v="461"/>
    <n v="49077"/>
    <n v="1.2636715002329981E-3"/>
    <x v="2"/>
    <x v="2"/>
    <n v="3.117549972492206E-3"/>
  </r>
  <r>
    <x v="42"/>
    <x v="1"/>
    <n v="609"/>
    <n v="135"/>
    <n v="373606"/>
    <n v="8.52"/>
    <n v="474"/>
    <n v="21453"/>
    <n v="1.268716241173857E-3"/>
    <x v="2"/>
    <x v="2"/>
    <n v="3.9714725213256891E-2"/>
  </r>
  <r>
    <x v="42"/>
    <x v="2"/>
    <n v="364"/>
    <n v="72"/>
    <n v="211090"/>
    <n v="5.53"/>
    <n v="292"/>
    <n v="21061"/>
    <n v="1.3832962243592781E-3"/>
    <x v="2"/>
    <x v="2"/>
    <n v="2.6257062817530034E-2"/>
  </r>
  <r>
    <x v="42"/>
    <x v="3"/>
    <n v="442"/>
    <n v="53"/>
    <n v="441931"/>
    <n v="1.87"/>
    <n v="389"/>
    <n v="20059"/>
    <n v="8.8022790888170322E-4"/>
    <x v="2"/>
    <x v="2"/>
    <n v="9.3224986290443203E-3"/>
  </r>
  <r>
    <x v="43"/>
    <x v="0"/>
    <n v="1033"/>
    <n v="392"/>
    <n v="282780"/>
    <n v="6.27"/>
    <n v="641"/>
    <n v="23140"/>
    <n v="2.2667798288422093E-3"/>
    <x v="2"/>
    <x v="2"/>
    <n v="2.7095937770095075E-2"/>
  </r>
  <r>
    <x v="43"/>
    <x v="1"/>
    <n v="988"/>
    <n v="474"/>
    <n v="370070"/>
    <n v="9.4600000000000009"/>
    <n v="514"/>
    <n v="23461"/>
    <n v="1.3889264193260734E-3"/>
    <x v="2"/>
    <x v="2"/>
    <n v="4.0322236903797798E-2"/>
  </r>
  <r>
    <x v="43"/>
    <x v="2"/>
    <n v="1946"/>
    <n v="270"/>
    <n v="198350"/>
    <n v="7.5"/>
    <n v="1676"/>
    <n v="11805"/>
    <n v="8.4497101083942528E-3"/>
    <x v="2"/>
    <x v="2"/>
    <n v="6.353240152477764E-2"/>
  </r>
  <r>
    <x v="43"/>
    <x v="3"/>
    <n v="1957"/>
    <n v="490"/>
    <n v="435726"/>
    <n v="4.7300000000000004"/>
    <n v="1467"/>
    <n v="15969"/>
    <n v="3.3667947287974553E-3"/>
    <x v="2"/>
    <x v="2"/>
    <n v="2.9619888534034695E-2"/>
  </r>
  <r>
    <x v="44"/>
    <x v="0"/>
    <n v="559"/>
    <n v="392"/>
    <n v="78789"/>
    <n v="3.19"/>
    <n v="167"/>
    <n v="2436"/>
    <n v="2.1195852212872357E-3"/>
    <x v="2"/>
    <x v="2"/>
    <n v="0.13095238095238096"/>
  </r>
  <r>
    <x v="44"/>
    <x v="1"/>
    <n v="1307"/>
    <n v="278"/>
    <n v="98596"/>
    <n v="2.4900000000000002"/>
    <n v="1029"/>
    <n v="47603"/>
    <n v="1.0436528865268368E-2"/>
    <x v="2"/>
    <x v="2"/>
    <n v="5.230762767052497E-3"/>
  </r>
  <r>
    <x v="44"/>
    <x v="2"/>
    <n v="1432"/>
    <n v="425"/>
    <n v="29589"/>
    <n v="4.5"/>
    <n v="1007"/>
    <n v="42964"/>
    <n v="3.4032917638311531E-2"/>
    <x v="2"/>
    <x v="2"/>
    <n v="1.0473885113117958E-2"/>
  </r>
  <r>
    <x v="44"/>
    <x v="3"/>
    <n v="623"/>
    <n v="414"/>
    <n v="290354"/>
    <n v="6.49"/>
    <n v="209"/>
    <n v="39923"/>
    <n v="7.1981098934404211E-4"/>
    <x v="2"/>
    <x v="2"/>
    <n v="1.6256293364727101E-2"/>
  </r>
  <r>
    <x v="45"/>
    <x v="0"/>
    <n v="198"/>
    <n v="358"/>
    <n v="66682"/>
    <n v="6.73"/>
    <n v="-160"/>
    <n v="2293"/>
    <n v="-2.3994481269308059E-3"/>
    <x v="2"/>
    <x v="2"/>
    <n v="0.29350196249454863"/>
  </r>
  <r>
    <x v="45"/>
    <x v="1"/>
    <n v="198"/>
    <n v="373"/>
    <n v="70707"/>
    <n v="4.83"/>
    <n v="-175"/>
    <n v="25920"/>
    <n v="-2.4750024750024749E-3"/>
    <x v="2"/>
    <x v="2"/>
    <n v="1.863425925925926E-2"/>
  </r>
  <r>
    <x v="45"/>
    <x v="2"/>
    <n v="353"/>
    <n v="300"/>
    <n v="142507"/>
    <n v="5.3"/>
    <n v="53"/>
    <n v="11035"/>
    <n v="3.7191155522184875E-4"/>
    <x v="2"/>
    <x v="2"/>
    <n v="4.8028998640688714E-2"/>
  </r>
  <r>
    <x v="45"/>
    <x v="3"/>
    <n v="520"/>
    <n v="375"/>
    <n v="369525"/>
    <n v="6.54"/>
    <n v="145"/>
    <n v="20733"/>
    <n v="3.9239564305527366E-4"/>
    <x v="2"/>
    <x v="2"/>
    <n v="3.1543915497033718E-2"/>
  </r>
  <r>
    <x v="46"/>
    <x v="0"/>
    <n v="961"/>
    <n v="358"/>
    <n v="62942"/>
    <n v="6.8"/>
    <n v="603"/>
    <n v="18693"/>
    <n v="9.5802484827301332E-3"/>
    <x v="2"/>
    <x v="2"/>
    <n v="3.6377253517359438E-2"/>
  </r>
  <r>
    <x v="46"/>
    <x v="1"/>
    <n v="1375"/>
    <n v="330"/>
    <n v="377382"/>
    <n v="2.6"/>
    <n v="1045"/>
    <n v="7875"/>
    <n v="2.7690774864725927E-3"/>
    <x v="2"/>
    <x v="2"/>
    <n v="3.3015873015873019E-2"/>
  </r>
  <r>
    <x v="46"/>
    <x v="2"/>
    <n v="1147"/>
    <n v="388"/>
    <n v="333851"/>
    <n v="2.44"/>
    <n v="759"/>
    <n v="8471"/>
    <n v="2.2734693021737242E-3"/>
    <x v="2"/>
    <x v="2"/>
    <n v="2.8804155353559204E-2"/>
  </r>
  <r>
    <x v="46"/>
    <x v="3"/>
    <n v="1707"/>
    <n v="74"/>
    <n v="270958"/>
    <n v="3.09"/>
    <n v="1633"/>
    <n v="14090"/>
    <n v="6.0267642955734836E-3"/>
    <x v="2"/>
    <x v="2"/>
    <n v="2.1930447125621009E-2"/>
  </r>
  <r>
    <x v="47"/>
    <x v="0"/>
    <n v="1693"/>
    <n v="154"/>
    <n v="445944"/>
    <n v="5.69"/>
    <n v="1539"/>
    <n v="14216"/>
    <n v="3.4511059684624078E-3"/>
    <x v="2"/>
    <x v="2"/>
    <n v="4.0025323579065838E-2"/>
  </r>
  <r>
    <x v="47"/>
    <x v="1"/>
    <n v="833"/>
    <n v="380"/>
    <n v="224830"/>
    <n v="3.86"/>
    <n v="453"/>
    <n v="3582"/>
    <n v="2.014855668727483E-3"/>
    <x v="2"/>
    <x v="2"/>
    <n v="0.1077610273590173"/>
  </r>
  <r>
    <x v="47"/>
    <x v="2"/>
    <n v="1222"/>
    <n v="274"/>
    <n v="487289"/>
    <n v="3.16"/>
    <n v="948"/>
    <n v="32500"/>
    <n v="1.9454574184929272E-3"/>
    <x v="2"/>
    <x v="2"/>
    <n v="9.7230769230769246E-3"/>
  </r>
  <r>
    <x v="47"/>
    <x v="3"/>
    <n v="777"/>
    <n v="140"/>
    <n v="11435"/>
    <n v="1.6"/>
    <n v="637"/>
    <n v="6832"/>
    <n v="5.5706165282028861E-2"/>
    <x v="2"/>
    <x v="2"/>
    <n v="2.3419203747072598E-2"/>
  </r>
  <r>
    <x v="48"/>
    <x v="0"/>
    <n v="1957"/>
    <n v="76"/>
    <n v="447902"/>
    <n v="6.09"/>
    <n v="1881"/>
    <n v="33381"/>
    <n v="4.1995793722733989E-3"/>
    <x v="2"/>
    <x v="2"/>
    <n v="1.8243911206974026E-2"/>
  </r>
  <r>
    <x v="48"/>
    <x v="1"/>
    <n v="405"/>
    <n v="66"/>
    <n v="418696"/>
    <n v="5.59"/>
    <n v="339"/>
    <n v="48419"/>
    <n v="8.0965664826031301E-4"/>
    <x v="2"/>
    <x v="2"/>
    <n v="1.1545054627315723E-2"/>
  </r>
  <r>
    <x v="48"/>
    <x v="2"/>
    <n v="1581"/>
    <n v="71"/>
    <n v="484364"/>
    <n v="3.55"/>
    <n v="1510"/>
    <n v="16149"/>
    <n v="3.1174901520344203E-3"/>
    <x v="2"/>
    <x v="2"/>
    <n v="2.198278531178401E-2"/>
  </r>
  <r>
    <x v="48"/>
    <x v="3"/>
    <n v="1035"/>
    <n v="171"/>
    <n v="148477"/>
    <n v="5.21"/>
    <n v="864"/>
    <n v="7541"/>
    <n v="5.8190830903102836E-3"/>
    <x v="2"/>
    <x v="2"/>
    <n v="6.9088980241347298E-2"/>
  </r>
  <r>
    <x v="49"/>
    <x v="0"/>
    <n v="1765"/>
    <n v="109"/>
    <n v="468301"/>
    <n v="1.82"/>
    <n v="1656"/>
    <n v="20042"/>
    <n v="3.5361871958419907E-3"/>
    <x v="2"/>
    <x v="2"/>
    <n v="9.0809300469015062E-3"/>
  </r>
  <r>
    <x v="49"/>
    <x v="1"/>
    <n v="837"/>
    <n v="430"/>
    <n v="364820"/>
    <n v="4"/>
    <n v="407"/>
    <n v="49400"/>
    <n v="1.1156186612576065E-3"/>
    <x v="2"/>
    <x v="2"/>
    <n v="8.0971659919028341E-3"/>
  </r>
  <r>
    <x v="49"/>
    <x v="2"/>
    <n v="337"/>
    <n v="68"/>
    <n v="456298"/>
    <n v="7.57"/>
    <n v="269"/>
    <n v="4007"/>
    <n v="5.8952701962314107E-4"/>
    <x v="2"/>
    <x v="2"/>
    <n v="0.18891939106563516"/>
  </r>
  <r>
    <x v="49"/>
    <x v="3"/>
    <n v="119"/>
    <n v="456"/>
    <n v="82558"/>
    <n v="6.81"/>
    <n v="-337"/>
    <n v="12174"/>
    <n v="-4.0819787301048958E-3"/>
    <x v="2"/>
    <x v="2"/>
    <n v="5.593888615081320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2B0D0F-5712-4C3A-BB24-0C063C9ED93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Content Type">
  <location ref="A79:D85" firstHeaderRow="0" firstDataRow="1" firstDataCol="1"/>
  <pivotFields count="16">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4" showAll="0"/>
    <pivotField axis="axisRow" showAll="0" sortType="descending">
      <items count="7">
        <item sd="0" x="3"/>
        <item sd="0" x="4"/>
        <item sd="0" x="0"/>
        <item sd="0" x="2"/>
        <item sd="0" x="1"/>
        <item sd="0" x="5"/>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dataField="1" showAll="0"/>
    <pivotField showAll="0"/>
    <pivotField showAll="0"/>
    <pivotField showAll="0"/>
    <pivotField showAll="0"/>
    <pivotField showAll="0"/>
    <pivotField showAll="0"/>
    <pivotField numFmtId="14" showAll="0"/>
    <pivotField showAll="0"/>
  </pivotFields>
  <rowFields count="2">
    <field x="3"/>
    <field x="1"/>
  </rowFields>
  <rowItems count="6">
    <i>
      <x v="1"/>
    </i>
    <i>
      <x/>
    </i>
    <i>
      <x v="2"/>
    </i>
    <i>
      <x v="3"/>
    </i>
    <i>
      <x v="4"/>
    </i>
    <i>
      <x v="5"/>
    </i>
  </rowItems>
  <colFields count="1">
    <field x="-2"/>
  </colFields>
  <colItems count="3">
    <i>
      <x/>
    </i>
    <i i="1">
      <x v="1"/>
    </i>
    <i i="2">
      <x v="2"/>
    </i>
  </colItems>
  <dataFields count="3">
    <dataField name="Total Likes" fld="5" baseField="3" baseItem="0" numFmtId="164"/>
    <dataField name="Total Shares" fld="6" baseField="3" baseItem="0" numFmtId="164"/>
    <dataField name="Total Comments" fld="7" baseField="3" baseItem="0" numFmtId="164"/>
  </dataFields>
  <formats count="3">
    <format dxfId="30">
      <pivotArea outline="0" collapsedLevelsAreSubtotals="1" fieldPosition="0"/>
    </format>
    <format dxfId="29">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2" selected="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508508-2C14-4B54-8830-A972D7BFD414}"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Hashtags">
  <location ref="A151:B154" firstHeaderRow="1" firstDataRow="1" firstDataCol="1"/>
  <pivotFields count="14">
    <pivotField showAll="0"/>
    <pivotField showAll="0"/>
    <pivotField numFmtId="14" showAll="0"/>
    <pivotField showAll="0"/>
    <pivotField showAll="0"/>
    <pivotField showAll="0"/>
    <pivotField showAll="0"/>
    <pivotField showAll="0"/>
    <pivotField showAll="0"/>
    <pivotField showAll="0"/>
    <pivotField dataField="1" showAll="0"/>
    <pivotField axis="axisRow" showAll="0" measureFilter="1"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numFmtId="2" showAll="0"/>
  </pivotFields>
  <rowFields count="1">
    <field x="11"/>
  </rowFields>
  <rowItems count="3">
    <i>
      <x v="3"/>
    </i>
    <i>
      <x/>
    </i>
    <i>
      <x v="2"/>
    </i>
  </rowItems>
  <colItems count="1">
    <i/>
  </colItems>
  <dataFields count="1">
    <dataField name="Average Clicks" fld="10" subtotal="average" baseField="11" baseItem="0" numFmtId="2"/>
  </dataFields>
  <formats count="1">
    <format dxfId="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D1EFA6-A36D-4908-AAAA-A8ABB601652B}"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114:B119" firstHeaderRow="1" firstDataRow="1" firstDataCol="1"/>
  <pivotFields count="14">
    <pivotField showAll="0"/>
    <pivotField showAll="0"/>
    <pivotField numFmtId="14" showAll="0"/>
    <pivotField showAll="0"/>
    <pivotField showAll="0"/>
    <pivotField showAll="0"/>
    <pivotField showAll="0"/>
    <pivotField showAll="0"/>
    <pivotField showAll="0"/>
    <pivotField showAll="0"/>
    <pivotField dataField="1"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numFmtId="2" showAll="0"/>
  </pivotFields>
  <rowFields count="1">
    <field x="11"/>
  </rowFields>
  <rowItems count="5">
    <i>
      <x v="3"/>
    </i>
    <i>
      <x/>
    </i>
    <i>
      <x v="2"/>
    </i>
    <i>
      <x v="4"/>
    </i>
    <i>
      <x v="1"/>
    </i>
  </rowItems>
  <colItems count="1">
    <i/>
  </colItems>
  <dataFields count="1">
    <dataField name="Average Clicks" fld="10" subtotal="average" baseField="11" baseItem="0" numFmtId="2"/>
  </dataFields>
  <formats count="1">
    <format dxfId="3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16732-61FB-4BC3-A69E-2FC105CF384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Top 10 Posts">
  <location ref="A44:B54" firstHeaderRow="1" firstDataRow="1" firstDataCol="1"/>
  <pivotFields count="16">
    <pivotField axis="axisRow" showAll="0" measureFilter="1" sortType="descending">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dataField="1" showAll="0"/>
    <pivotField numFmtId="14" showAll="0"/>
    <pivotField showAll="0"/>
  </pivotFields>
  <rowFields count="1">
    <field x="0"/>
  </rowFields>
  <rowItems count="10">
    <i>
      <x v="219"/>
    </i>
    <i>
      <x v="57"/>
    </i>
    <i>
      <x v="231"/>
    </i>
    <i>
      <x v="177"/>
    </i>
    <i>
      <x v="174"/>
    </i>
    <i>
      <x v="61"/>
    </i>
    <i>
      <x v="263"/>
    </i>
    <i>
      <x v="142"/>
    </i>
    <i>
      <x v="209"/>
    </i>
    <i>
      <x v="69"/>
    </i>
  </rowItems>
  <colItems count="1">
    <i/>
  </colItems>
  <dataFields count="1">
    <dataField name="Engagement" fld="13" baseField="0" baseItem="219" numFmtId="2"/>
  </dataFields>
  <formats count="1">
    <format dxfId="3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CB3743-2388-4EF0-90B2-E0855699E74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Platforms">
  <location ref="A8:B12" firstHeaderRow="1" firstDataRow="1" firstDataCol="1"/>
  <pivotFields count="16">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dataField="1" showAll="0"/>
    <pivotField numFmtId="14" showAll="0"/>
    <pivotField showAll="0"/>
  </pivotFields>
  <rowFields count="1">
    <field x="1"/>
  </rowFields>
  <rowItems count="4">
    <i>
      <x v="1"/>
    </i>
    <i>
      <x v="2"/>
    </i>
    <i>
      <x v="3"/>
    </i>
    <i>
      <x/>
    </i>
  </rowItems>
  <colItems count="1">
    <i/>
  </colItems>
  <dataFields count="1">
    <dataField name="Average Engagement Rate" fld="13" subtotal="average" baseField="1" baseItem="1" numFmtId="9"/>
  </dataFields>
  <formats count="1">
    <format dxfId="3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D246ED-FF64-4CBF-8FCC-07FE6E4B2269}"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Platform">
  <location ref="A7:B11" firstHeaderRow="1" firstDataRow="1" firstDataCol="1"/>
  <pivotFields count="17">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
  </rowFields>
  <rowItems count="4">
    <i>
      <x v="1"/>
    </i>
    <i>
      <x v="2"/>
    </i>
    <i>
      <x/>
    </i>
    <i>
      <x v="3"/>
    </i>
  </rowItems>
  <colItems count="1">
    <i/>
  </colItems>
  <dataFields count="1">
    <dataField name="Total Engagement" fld="5" baseField="1"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A0FEB6-D065-4218-94D4-DBB9D168EB66}" name="PivotTable13"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Platforms">
  <location ref="A78:C91" firstHeaderRow="0" firstDataRow="1" firstDataCol="1"/>
  <pivotFields count="17">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defaultSubtotal="0">
      <items count="4">
        <item h="1" x="1"/>
        <item h="1" x="0"/>
        <item h="1" x="2"/>
        <item x="3"/>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defaultSubtotal="0">
      <items count="6">
        <item sd="0" x="0"/>
        <item sd="0" x="1"/>
        <item sd="0" x="2"/>
        <item sd="0" x="3"/>
        <item sd="0" x="4"/>
        <item sd="0" x="5"/>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2">
    <field x="1"/>
    <field x="12"/>
  </rowFields>
  <rowItems count="13">
    <i>
      <x v="3"/>
    </i>
    <i r="1">
      <x v="1"/>
    </i>
    <i r="1">
      <x v="2"/>
    </i>
    <i r="1">
      <x v="3"/>
    </i>
    <i r="1">
      <x v="4"/>
    </i>
    <i r="1">
      <x v="5"/>
    </i>
    <i r="1">
      <x v="6"/>
    </i>
    <i r="1">
      <x v="7"/>
    </i>
    <i r="1">
      <x v="8"/>
    </i>
    <i r="1">
      <x v="9"/>
    </i>
    <i r="1">
      <x v="10"/>
    </i>
    <i r="1">
      <x v="11"/>
    </i>
    <i r="1">
      <x v="12"/>
    </i>
  </rowItems>
  <colFields count="1">
    <field x="-2"/>
  </colFields>
  <colItems count="2">
    <i>
      <x/>
    </i>
    <i i="1">
      <x v="1"/>
    </i>
  </colItems>
  <dataFields count="2">
    <dataField name="Total Engagement" fld="5" baseField="1" baseItem="1" numFmtId="2"/>
    <dataField name="Total Ad_Spend" fld="7" baseField="1" baseItem="1" numFmtId="164"/>
  </dataFields>
  <formats count="4">
    <format dxfId="26">
      <pivotArea outline="0" collapsedLevelsAreSubtotals="1" fieldPosition="0"/>
    </format>
    <format dxfId="25">
      <pivotArea outline="0" collapsedLevelsAreSubtotals="1" fieldPosition="0">
        <references count="1">
          <reference field="4294967294" count="1" selected="0">
            <x v="0"/>
          </reference>
        </references>
      </pivotArea>
    </format>
    <format dxfId="24">
      <pivotArea collapsedLevelsAreSubtotals="1" fieldPosition="0">
        <references count="2">
          <reference field="4294967294" count="1" selected="0">
            <x v="1"/>
          </reference>
          <reference field="1" count="1">
            <x v="1"/>
          </reference>
        </references>
      </pivotArea>
    </format>
    <format dxfId="2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145F62-D194-4974-9962-1253FBCB1327}" name="PivotTable1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Platforms">
  <location ref="A42:B46" firstHeaderRow="1" firstDataRow="1" firstDataCol="1"/>
  <pivotFields count="17">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
  </rowFields>
  <rowItems count="4">
    <i>
      <x v="2"/>
    </i>
    <i>
      <x v="3"/>
    </i>
    <i>
      <x v="1"/>
    </i>
    <i>
      <x/>
    </i>
  </rowItems>
  <colItems count="1">
    <i/>
  </colItems>
  <dataFields count="1">
    <dataField name="Follower Growth_Rate" fld="8" subtotal="average" baseField="1" baseItem="2"/>
  </dataFields>
  <formats count="1">
    <format dxfId="27">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78E501-896C-4069-A01B-44C16C61ABB8}"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Content Type">
  <location ref="A40:B46" firstHeaderRow="1" firstDataRow="1" firstDataCol="1"/>
  <pivotFields count="14">
    <pivotField showAll="0"/>
    <pivotField axis="axisRow" showAll="0" sortType="descending">
      <items count="5">
        <item sd="0" x="3"/>
        <item sd="0" x="2"/>
        <item sd="0" x="0"/>
        <item sd="0" x="1"/>
        <item t="default"/>
      </items>
      <autoSortScope>
        <pivotArea dataOnly="0" outline="0" fieldPosition="0">
          <references count="1">
            <reference field="4294967294" count="1" selected="0">
              <x v="0"/>
            </reference>
          </references>
        </pivotArea>
      </autoSortScope>
    </pivotField>
    <pivotField numFmtId="14" showAll="0"/>
    <pivotField axis="axisRow" showAll="0" sortType="descending">
      <items count="7">
        <item sd="0" x="3"/>
        <item sd="0" x="4"/>
        <item sd="0" x="0"/>
        <item sd="0" x="2"/>
        <item sd="0" x="1"/>
        <item sd="0"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dataField="1" numFmtId="9" showAll="0"/>
  </pivotFields>
  <rowFields count="2">
    <field x="3"/>
    <field x="1"/>
  </rowFields>
  <rowItems count="6">
    <i>
      <x v="3"/>
    </i>
    <i>
      <x v="5"/>
    </i>
    <i>
      <x/>
    </i>
    <i>
      <x v="2"/>
    </i>
    <i>
      <x v="1"/>
    </i>
    <i>
      <x v="4"/>
    </i>
  </rowItems>
  <colItems count="1">
    <i/>
  </colItems>
  <dataFields count="1">
    <dataField name="Average Engagement Rate" fld="13" subtotal="average" baseField="1" baseItem="1"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DB09B3-3C86-474B-B966-27AA25EA4623}"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8:B13" firstHeaderRow="1" firstDataRow="1" firstDataCol="1"/>
  <pivotFields count="14">
    <pivotField showAll="0"/>
    <pivotField showAll="0"/>
    <pivotField numFmtId="14" showAll="0"/>
    <pivotField showAll="0"/>
    <pivotField showAll="0"/>
    <pivotField showAll="0"/>
    <pivotField showAll="0"/>
    <pivotField showAll="0"/>
    <pivotField showAll="0"/>
    <pivotField showAll="0"/>
    <pivotField showAll="0"/>
    <pivotField axis="axisRow" dataField="1"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numFmtId="2" showAll="0"/>
  </pivotFields>
  <rowFields count="1">
    <field x="11"/>
  </rowFields>
  <rowItems count="5">
    <i>
      <x v="4"/>
    </i>
    <i>
      <x v="2"/>
    </i>
    <i>
      <x v="3"/>
    </i>
    <i>
      <x v="1"/>
    </i>
    <i>
      <x/>
    </i>
  </rowItems>
  <colItems count="1">
    <i/>
  </colItems>
  <dataFields count="1">
    <dataField name="Frequently Used Hashtags" fld="11" subtotal="count" baseField="11" baseItem="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2C6D21-827C-4549-9758-F5CDA3230B07}"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Content Type">
  <location ref="A71:B76" firstHeaderRow="1" firstDataRow="1" firstDataCol="1"/>
  <pivotFields count="14">
    <pivotField axis="axisRow" showAll="0" sortType="descending">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autoSortScope>
        <pivotArea dataOnly="0" outline="0" fieldPosition="0">
          <references count="1">
            <reference field="4294967294" count="1" selected="0">
              <x v="0"/>
            </reference>
          </references>
        </pivotArea>
      </autoSortScope>
    </pivotField>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sortType="descending">
      <items count="6">
        <item sd="0" x="4"/>
        <item sd="0" x="1"/>
        <item sd="0" x="0"/>
        <item sd="0" x="3"/>
        <item sd="0" x="2"/>
        <item t="default"/>
      </items>
      <autoSortScope>
        <pivotArea dataOnly="0" outline="0" fieldPosition="0">
          <references count="1">
            <reference field="4294967294" count="1" selected="0">
              <x v="0"/>
            </reference>
          </references>
        </pivotArea>
      </autoSortScope>
    </pivotField>
    <pivotField showAll="0"/>
    <pivotField dataField="1" numFmtId="9" showAll="0"/>
  </pivotFields>
  <rowFields count="2">
    <field x="11"/>
    <field x="0"/>
  </rowFields>
  <rowItems count="5">
    <i>
      <x v="4"/>
    </i>
    <i>
      <x v="2"/>
    </i>
    <i>
      <x v="1"/>
    </i>
    <i>
      <x v="3"/>
    </i>
    <i>
      <x/>
    </i>
  </rowItems>
  <colItems count="1">
    <i/>
  </colItems>
  <dataFields count="1">
    <dataField name="Average of Engagement" fld="13" subtotal="average" baseField="11" baseItem="0" numFmtId="9"/>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6FF229-26F2-4492-8466-33A13C12CEEE}"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Campaign Name">
  <location ref="A88:B92" firstHeaderRow="1" firstDataRow="1" firstDataCol="1"/>
  <pivotFields count="17">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dataField="1" showAll="0"/>
    <pivotField showAll="0"/>
    <pivotField showAll="0"/>
    <pivotField showAll="0"/>
    <pivotField axis="axisRow" showAll="0" sortType="descending">
      <items count="6">
        <item x="0"/>
        <item x="1"/>
        <item x="3"/>
        <item h="1" x="2"/>
        <item x="4"/>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0"/>
  </rowFields>
  <rowItems count="4">
    <i>
      <x v="4"/>
    </i>
    <i>
      <x v="2"/>
    </i>
    <i>
      <x v="1"/>
    </i>
    <i>
      <x/>
    </i>
  </rowItems>
  <colItems count="1">
    <i/>
  </colItems>
  <dataFields count="1">
    <dataField name="Net Follower_Growth" fld="6" baseField="10" baseItem="4" numFmtId="164"/>
  </dataFields>
  <formats count="1">
    <format dxfId="1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5235F9-4509-4D8B-9DA8-9D029ED807EC}" name="PivotTable6"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Campaign Name">
  <location ref="A52:B56" firstHeaderRow="1" firstDataRow="1" firstDataCol="1"/>
  <pivotFields count="17">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showAll="0"/>
    <pivotField showAll="0"/>
    <pivotField axis="axisRow" showAll="0">
      <items count="6">
        <item x="0"/>
        <item x="1"/>
        <item x="3"/>
        <item h="1" x="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 dragToRow="0" dragToCol="0" dragToPage="0" showAll="0" defaultSubtotal="0"/>
  </pivotFields>
  <rowFields count="1">
    <field x="10"/>
  </rowFields>
  <rowItems count="4">
    <i>
      <x/>
    </i>
    <i>
      <x v="1"/>
    </i>
    <i>
      <x v="2"/>
    </i>
    <i>
      <x v="4"/>
    </i>
  </rowItems>
  <colItems count="1">
    <i/>
  </colItems>
  <dataFields count="1">
    <dataField name="Aggregate ROI " fld="15" baseField="10" baseItem="0" numFmtId="167"/>
  </dataFields>
  <formats count="1">
    <format dxfId="19">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0D573D-DA25-46CE-BD33-D1F276587574}"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mpaign Name" colHeaderCaption="Campaing Phase">
  <location ref="A20:C25" firstHeaderRow="1" firstDataRow="2" firstDataCol="1"/>
  <pivotFields count="17">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dataField="1" showAll="0"/>
    <pivotField showAll="0"/>
    <pivotField showAll="0"/>
    <pivotField showAll="0"/>
    <pivotField axis="axisCol" showAll="0">
      <items count="6">
        <item h="1" m="1" x="3"/>
        <item x="0"/>
        <item x="1"/>
        <item h="1" m="1" x="4"/>
        <item h="1" x="2"/>
        <item t="default"/>
      </items>
    </pivotField>
    <pivotField axis="axisRow" showAll="0">
      <items count="6">
        <item x="0"/>
        <item x="1"/>
        <item x="3"/>
        <item h="1" x="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0"/>
  </rowFields>
  <rowItems count="4">
    <i>
      <x/>
    </i>
    <i>
      <x v="1"/>
    </i>
    <i>
      <x v="2"/>
    </i>
    <i>
      <x v="4"/>
    </i>
  </rowItems>
  <colFields count="1">
    <field x="9"/>
  </colFields>
  <colItems count="2">
    <i>
      <x v="1"/>
    </i>
    <i>
      <x v="2"/>
    </i>
  </colItems>
  <dataFields count="1">
    <dataField name="Average Engagement" fld="5" subtotal="average" baseField="9"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612876-E69D-45CF-99D7-9FFCB85077C2}"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mpaign Name">
  <location ref="A5:G9" firstHeaderRow="0" firstDataRow="1" firstDataCol="1"/>
  <pivotFields count="16">
    <pivotField showAll="0"/>
    <pivotField showAll="0"/>
    <pivotField numFmtId="14" showAll="0"/>
    <pivotField showAll="0"/>
    <pivotField showAll="0"/>
    <pivotField dataField="1" showAll="0"/>
    <pivotField showAll="0"/>
    <pivotField showAll="0"/>
    <pivotField dataField="1" showAll="0"/>
    <pivotField showAll="0"/>
    <pivotField dataField="1"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s>
  <rowFields count="1">
    <field x="12"/>
  </rowFields>
  <rowItems count="4">
    <i>
      <x/>
    </i>
    <i>
      <x v="1"/>
    </i>
    <i>
      <x v="2"/>
    </i>
    <i>
      <x v="3"/>
    </i>
  </rowItems>
  <colFields count="1">
    <field x="-2"/>
  </colFields>
  <colItems count="6">
    <i>
      <x/>
    </i>
    <i i="1">
      <x v="1"/>
    </i>
    <i i="2">
      <x v="2"/>
    </i>
    <i i="3">
      <x v="3"/>
    </i>
    <i i="4">
      <x v="4"/>
    </i>
    <i i="5">
      <x v="5"/>
    </i>
  </colItems>
  <dataFields count="6">
    <dataField name="Total Impressions" fld="8" baseField="13" baseItem="0"/>
    <dataField name="Average Impressions" fld="8" subtotal="average" baseField="12" baseItem="0" numFmtId="2"/>
    <dataField name="Total Likes" fld="5" baseField="13" baseItem="0"/>
    <dataField name="Average Likes" fld="5" subtotal="average" baseField="12" baseItem="0" numFmtId="2"/>
    <dataField name="Total Clicks" fld="10" baseField="12" baseItem="0"/>
    <dataField name="Average Clicks" fld="10" subtotal="average" baseField="12" baseItem="0" numFmtId="2"/>
  </dataFields>
  <formats count="3">
    <format dxfId="22">
      <pivotArea outline="0" collapsedLevelsAreSubtotals="1" fieldPosition="0">
        <references count="1">
          <reference field="4294967294" count="1" selected="0">
            <x v="5"/>
          </reference>
        </references>
      </pivotArea>
    </format>
    <format dxfId="21">
      <pivotArea outline="0" collapsedLevelsAreSubtotals="1" fieldPosition="0">
        <references count="1">
          <reference field="4294967294" count="1" selected="0">
            <x v="3"/>
          </reference>
        </references>
      </pivotArea>
    </format>
    <format dxfId="2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7DE913-1D5B-449E-8EB4-957912F72F31}"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10">
  <location ref="A201:C203" firstHeaderRow="1" firstDataRow="2" firstDataCol="1"/>
  <pivotFields count="17">
    <pivotField compact="0" numFmtId="14"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compact="0" outline="0" showAll="0">
      <items count="5">
        <item x="1"/>
        <item h="1" x="0"/>
        <item h="1" x="2"/>
        <item h="1" x="3"/>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 compact="0" outline="0" dragToRow="0" dragToCol="0" dragToPage="0" showAll="0" defaultSubtotal="0"/>
    <pivotField compact="0" outline="0" dragToRow="0" dragToCol="0" dragToPage="0" showAll="0" defaultSubtotal="0"/>
  </pivotFields>
  <rowFields count="1">
    <field x="1"/>
  </rowFields>
  <rowItems count="1">
    <i>
      <x/>
    </i>
  </rowItems>
  <colFields count="1">
    <field x="-2"/>
  </colFields>
  <colItems count="2">
    <i>
      <x/>
    </i>
    <i i="1">
      <x v="1"/>
    </i>
  </colItems>
  <dataFields count="2">
    <dataField name="Sum of Follower_Growth" fld="6" baseField="0" baseItem="0"/>
    <dataField name="Sum of Ad_Spen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DBC3E89-C1AA-444D-8E65-57B40042EF42}"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3:C56" firstHeaderRow="0" firstDataRow="1" firstDataCol="1"/>
  <pivotFields count="17">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defaultSubtotal="0">
      <items count="4">
        <item x="1"/>
        <item h="1" x="0"/>
        <item h="1" x="2"/>
        <item h="1" x="3"/>
      </items>
    </pivotField>
    <pivotField showAll="0"/>
    <pivotField showAll="0"/>
    <pivotField showAll="0"/>
    <pivotField showAll="0"/>
    <pivotField dataField="1" showAll="0"/>
    <pivotField dataField="1" showAll="0"/>
    <pivotField numFmtId="9"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2">
    <field x="1"/>
    <field x="12"/>
  </rowFields>
  <rowItems count="13">
    <i>
      <x/>
    </i>
    <i r="1">
      <x v="1"/>
    </i>
    <i r="1">
      <x v="2"/>
    </i>
    <i r="1">
      <x v="3"/>
    </i>
    <i r="1">
      <x v="4"/>
    </i>
    <i r="1">
      <x v="5"/>
    </i>
    <i r="1">
      <x v="6"/>
    </i>
    <i r="1">
      <x v="7"/>
    </i>
    <i r="1">
      <x v="8"/>
    </i>
    <i r="1">
      <x v="9"/>
    </i>
    <i r="1">
      <x v="10"/>
    </i>
    <i r="1">
      <x v="11"/>
    </i>
    <i r="1">
      <x v="12"/>
    </i>
  </rowItems>
  <colFields count="1">
    <field x="-2"/>
  </colFields>
  <colItems count="2">
    <i>
      <x/>
    </i>
    <i i="1">
      <x v="1"/>
    </i>
  </colItems>
  <dataFields count="2">
    <dataField name="Net Follower_Growth" fld="6" baseField="1" baseItem="3"/>
    <dataField name="Total Ad_Spend" fld="7" baseField="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971DFBC-4237-403B-9D43-2C6E2D46B73A}" name="PivotTable10" cacheId="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10">
  <location ref="A147:B198" firstHeaderRow="2" firstDataRow="2" firstDataCol="1"/>
  <pivotFields count="17">
    <pivotField axis="axisRow" compact="0" numFmtId="14"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outline="0" showAll="0" sortType="descending">
      <items count="5">
        <item x="1"/>
        <item h="1" x="0"/>
        <item h="1" x="2"/>
        <item h="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 compact="0" outline="0" dragToRow="0" dragToCol="0" dragToPage="0" showAll="0" defaultSubtotal="0"/>
    <pivotField compact="0" outline="0" dragToRow="0" dragToCol="0" dragToPage="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Follower Growth Rate" fld="8"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A31B628-B420-4517-9965-DAF518A23EDC}"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10">
  <location ref="A209:C260" firstHeaderRow="2" firstDataRow="2" firstDataCol="2"/>
  <pivotFields count="17">
    <pivotField axis="axisRow" compact="0" numFmtId="14"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compact="0" outline="0" showAll="0" defaultSubtotal="0">
      <items count="4">
        <item x="1"/>
        <item h="1" x="0"/>
        <item h="1" x="2"/>
        <item h="1" x="3"/>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 compact="0" outline="0" dragToRow="0" dragToCol="0" dragToPage="0" showAll="0" defaultSubtotal="0"/>
    <pivotField compact="0" outline="0" dragToRow="0" dragToCol="0" dragToPage="0" showAll="0" defaultSubtotal="0"/>
  </pivotFields>
  <rowFields count="2">
    <field x="1"/>
    <field x="0"/>
  </rowFields>
  <rowItems count="5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rowItems>
  <colItems count="1">
    <i/>
  </colItems>
  <dataFields count="1">
    <dataField name="Sum of Follower_Growth" fld="6" baseField="0" baseItem="0"/>
  </dataFields>
  <formats count="1">
    <format dxfId="17">
      <pivotArea collapsedLevelsAreSubtotals="1" fieldPosition="0">
        <references count="1">
          <reference field="1" count="0"/>
        </references>
      </pivotArea>
    </format>
  </formats>
  <chartFormats count="2">
    <chartFormat chart="3" format="1" series="1">
      <pivotArea type="data" outline="0" fieldPosition="0"/>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9B869D64-8867-4C29-8B7C-3B0C1FC479FA}" autoFormatId="16" applyNumberFormats="0" applyBorderFormats="0" applyFontFormats="0" applyPatternFormats="0" applyAlignmentFormats="0" applyWidthHeightFormats="0">
  <queryTableRefresh nextId="23" unboundColumnsRight="1">
    <queryTableFields count="16">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20" name="Hashtags Used" tableColumnId="15"/>
      <queryTableField id="13" name="Campaign_Name" tableColumnId="13"/>
      <queryTableField id="14" name="Engagement Rate" tableColumnId="14"/>
      <queryTableField id="22" name="Week_Start_Date" tableColumnId="16"/>
      <queryTableField id="19"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4014DD7-5C83-4589-B71E-000E46F0C244}" autoFormatId="16" applyNumberFormats="0" applyBorderFormats="0" applyFontFormats="0" applyPatternFormats="0" applyAlignmentFormats="0" applyWidthHeightFormats="0">
  <queryTableRefresh nextId="17" unboundColumnsRight="3">
    <queryTableFields count="12">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16" dataBound="0" tableColumnId="13"/>
      <queryTableField id="7" name="Ad_Spend" tableColumnId="7"/>
      <queryTableField id="8" name="Follower Growth Rate" tableColumnId="8"/>
      <queryTableField id="10" dataBound="0" tableColumnId="10"/>
      <queryTableField id="13" dataBound="0" tableColumnId="9"/>
      <queryTableField id="15" dataBound="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82EA8AA2-E024-448A-8716-DD6CAF4EA220}" autoFormatId="16" applyNumberFormats="0" applyBorderFormats="0" applyFontFormats="0" applyPatternFormats="0" applyAlignmentFormats="0" applyWidthHeightFormats="0">
  <queryTableRefresh nextId="8">
    <queryTableFields count="6">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9D114358-DDE1-44AB-A7B5-37ADBD3BBCB8}" autoFormatId="16" applyNumberFormats="0" applyBorderFormats="0" applyFontFormats="0" applyPatternFormats="0" applyAlignmentFormats="0" applyWidthHeightFormats="0">
  <queryTableRefresh nextId="25">
    <queryTableFields count="14">
      <queryTableField id="1" name="Post ID" tableColumnId="1"/>
      <queryTableField id="3" name="Platform" tableColumnId="3"/>
      <queryTableField id="4" name="Date" tableColumnId="4"/>
      <queryTableField id="5" name="Content Type" tableColumnId="5"/>
      <queryTableField id="6" name="Post Text" tableColumnId="6"/>
      <queryTableField id="7" name="Likes" tableColumnId="7"/>
      <queryTableField id="8" name="Shares" tableColumnId="8"/>
      <queryTableField id="9" name="Comments" tableColumnId="9"/>
      <queryTableField id="10" name="Impressions" tableColumnId="10"/>
      <queryTableField id="11" name="Reach" tableColumnId="11"/>
      <queryTableField id="12" name="Clicks" tableColumnId="12"/>
      <queryTableField id="2" name="Hashtags Used" tableColumnId="2"/>
      <queryTableField id="13" name="Campaign_Name" tableColumnId="13"/>
      <queryTableField id="24" name="Engagemen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DE3F1BA-DB89-4087-88E3-BDF5B082C688}" sourceName="Platform">
  <pivotTables>
    <pivotTable tabId="16" name="PivotTable8"/>
    <pivotTable tabId="16" name="PivotTable10"/>
    <pivotTable tabId="16" name="PivotTable11"/>
  </pivotTables>
  <data>
    <tabular pivotCacheId="1731730698">
      <items count="4">
        <i x="1" s="1"/>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D7E8E457-6B5F-44E6-91D0-32F8ED0036DC}" sourceName="Platform">
  <pivotTables>
    <pivotTable tabId="12" name="PivotTable13"/>
  </pivotTables>
  <data>
    <tabular pivotCacheId="1731730698">
      <items count="4">
        <i x="1"/>
        <i x="0"/>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B008F6EA-3C98-4CD5-AD1D-6C898F28257D}" sourceName="Platform">
  <pivotTables>
    <pivotTable tabId="16" name="PivotTable7"/>
  </pivotTables>
  <data>
    <tabular pivotCacheId="1731730698">
      <items count="4">
        <i x="1" s="1"/>
        <i x="0"/>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23F8D6E9-3F28-4AEE-AEEF-906DCFD935DF}" cache="Slicer_Platform1" caption="Platfor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9039D34-F503-4119-9D09-46E824FCDA6E}" cache="Slicer_Platform" caption="Platform" rowHeight="234950"/>
  <slicer name="Platform 2" xr10:uid="{2F8A6BA8-7C72-499B-8F9B-B2824979DA48}" cache="Slicer_Platform2" caption="Platfor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FAAF03-ECFF-47DA-9ED7-1792A91552A7}" name="Post_Clean" displayName="Post_Clean" ref="A1:P301" tableType="queryTable" totalsRowShown="0">
  <autoFilter ref="A1:P301" xr:uid="{39FAAF03-ECFF-47DA-9ED7-1792A91552A7}"/>
  <tableColumns count="16">
    <tableColumn id="1" xr3:uid="{819D17E7-D5DC-4F83-B4C7-339C38762E74}" uniqueName="1" name="Post ID" queryTableFieldId="1" dataDxfId="64"/>
    <tableColumn id="2" xr3:uid="{EC477D42-4A8C-4395-BDA1-607D02D8A3A8}" uniqueName="2" name="Platform" queryTableFieldId="2" dataDxfId="63"/>
    <tableColumn id="3" xr3:uid="{87D3B323-0833-443D-882B-CC0730990F83}" uniqueName="3" name="Date" queryTableFieldId="3" dataDxfId="62"/>
    <tableColumn id="4" xr3:uid="{67FDA5C5-C87E-4BEF-8439-7304CD302C03}" uniqueName="4" name="Content Type" queryTableFieldId="4" dataDxfId="61"/>
    <tableColumn id="5" xr3:uid="{5AD1E9CE-8F01-4BB0-863B-4AB067ABEBF4}" uniqueName="5" name="Post Text" queryTableFieldId="5" dataDxfId="60"/>
    <tableColumn id="6" xr3:uid="{8DEB1CD2-9DB7-456A-A4CF-09FAADCBC3A7}" uniqueName="6" name="Likes" queryTableFieldId="6"/>
    <tableColumn id="7" xr3:uid="{2CCAC8B1-E945-4271-8705-EB83B865A3F2}" uniqueName="7" name="Shares" queryTableFieldId="7"/>
    <tableColumn id="8" xr3:uid="{1359E4C7-5623-4F57-9E47-8052D051A731}" uniqueName="8" name="Comments" queryTableFieldId="8"/>
    <tableColumn id="9" xr3:uid="{7F0B6E87-FF39-4C38-B99F-DFEAB751D556}" uniqueName="9" name="Impressions" queryTableFieldId="9"/>
    <tableColumn id="10" xr3:uid="{0E6EE269-F289-4504-A480-0ADF68A3E3D5}" uniqueName="10" name="Reach" queryTableFieldId="10"/>
    <tableColumn id="11" xr3:uid="{6F75473F-030B-404D-B559-B19D74DAAAC3}" uniqueName="11" name="Clicks" queryTableFieldId="11"/>
    <tableColumn id="15" xr3:uid="{519209CA-7F9C-4FC2-A406-647022A25BA5}" uniqueName="15" name="Hashtags Used" queryTableFieldId="20" dataDxfId="59"/>
    <tableColumn id="13" xr3:uid="{EE84EA99-2A90-4F8E-9D54-194B6325CCA0}" uniqueName="13" name="Campaign_Name" queryTableFieldId="13" dataDxfId="58"/>
    <tableColumn id="14" xr3:uid="{05303BE5-DB99-44FC-B3D3-134CCDE1E0C3}" uniqueName="14" name="Engagement Rate" queryTableFieldId="14" dataDxfId="57"/>
    <tableColumn id="16" xr3:uid="{C7FA2E2F-04EB-40FA-8B33-79A77DD543C6}" uniqueName="16" name="Week_Start_Date" queryTableFieldId="22" dataDxfId="56"/>
    <tableColumn id="12" xr3:uid="{6866BF39-BA18-46DD-A59B-CAA48CDA74AE}" uniqueName="12" name="Campaign_Phase" queryTableFieldId="19" dataDxfId="55">
      <calculatedColumnFormula>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0F552A-1FD2-4991-AC2F-8A0EE1C9F14B}" name="Engagment_Summary_Clean" displayName="Engagment_Summary_Clean" ref="A1:L201" tableType="queryTable" totalsRowShown="0">
  <autoFilter ref="A1:L201" xr:uid="{190F552A-1FD2-4991-AC2F-8A0EE1C9F14B}"/>
  <tableColumns count="12">
    <tableColumn id="1" xr3:uid="{90D82767-84EE-4FBC-BE26-B49279EEA026}" uniqueName="1" name="Week_Start_Date" queryTableFieldId="1" dataDxfId="54"/>
    <tableColumn id="2" xr3:uid="{B67A0490-0E54-4D0D-B7EF-BF9EB50290E4}" uniqueName="2" name="Platform" queryTableFieldId="2" dataDxfId="53"/>
    <tableColumn id="3" xr3:uid="{65CA2802-A48A-4C91-B2DA-42C6E9FF4438}" uniqueName="3" name="New_Followers" queryTableFieldId="3"/>
    <tableColumn id="4" xr3:uid="{1AC7C45C-E39A-4EE1-8FAB-3760205559E2}" uniqueName="4" name="Unfollows" queryTableFieldId="4"/>
    <tableColumn id="5" xr3:uid="{A4DC044F-2EC9-48FB-ABCD-1A3F53ADF3BE}" uniqueName="5" name="Total_Followers" queryTableFieldId="5"/>
    <tableColumn id="6" xr3:uid="{F6F6E34D-3F2E-4F8A-A7AD-F90B7055D641}" uniqueName="6" name="Engagement_Rate" queryTableFieldId="6"/>
    <tableColumn id="13" xr3:uid="{87ECD516-ACA3-48F6-8ECC-E39794251D63}" uniqueName="13" name="Follower_Growth" queryTableFieldId="16" dataDxfId="52">
      <calculatedColumnFormula>C2-Engagment_Summary_Clean[[#This Row],[Unfollows]]</calculatedColumnFormula>
    </tableColumn>
    <tableColumn id="7" xr3:uid="{EC561844-908A-4609-BB74-A8F81E790344}" uniqueName="7" name="Ad_Spend" queryTableFieldId="7"/>
    <tableColumn id="8" xr3:uid="{11A91968-92B5-4582-9604-9BB538E9A770}" uniqueName="8" name="Follower Growth Rate" queryTableFieldId="8" dataDxfId="51" dataCellStyle="Percent"/>
    <tableColumn id="10" xr3:uid="{E609E554-ED3C-4EF1-A46D-48F07354D284}" uniqueName="10" name="Campaign_Phase" queryTableFieldId="10" dataDxfId="50">
      <calculatedColumnFormula>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calculatedColumnFormula>
    </tableColumn>
    <tableColumn id="9" xr3:uid="{8AE9A5C8-532A-40C8-B536-F5968D3354D0}" uniqueName="9" name="Campaign_Name" queryTableFieldId="13" dataDxfId="49">
      <calculatedColumnFormula array="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calculatedColumnFormula>
    </tableColumn>
    <tableColumn id="12" xr3:uid="{6EF2A1BF-A16D-4CF8-8E94-75A5DD264EAD}" uniqueName="12" name="ROI" queryTableFieldId="15" dataDxfId="48">
      <calculatedColumnFormula>Engagment_Summary_Clean[[#This Row],[Engagement_Rate]]/Engagment_Summary_Clean[[#This Row],[Ad_Spend]]*100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015D98-1AD4-497F-A993-C62CC0865C26}" name="Campaign_Data_Clean" displayName="Campaign_Data_Clean" ref="A1:F5" tableType="queryTable" totalsRowShown="0">
  <autoFilter ref="A1:F5" xr:uid="{A3015D98-1AD4-497F-A993-C62CC0865C26}"/>
  <tableColumns count="6">
    <tableColumn id="1" xr3:uid="{08DA03B3-F724-4BA1-A7F0-653E90E35251}" uniqueName="1" name="Campaign_Name" queryTableFieldId="1" dataDxfId="47"/>
    <tableColumn id="2" xr3:uid="{11CD9499-FAAB-41B5-9AEF-095F0F39A389}" uniqueName="2" name="Start_Date" queryTableFieldId="2" dataDxfId="46"/>
    <tableColumn id="3" xr3:uid="{2C6A5270-9C14-4626-9152-B30DBDB3DA66}" uniqueName="3" name="End_Date" queryTableFieldId="3" dataDxfId="45"/>
    <tableColumn id="4" xr3:uid="{60EEA122-A800-4325-982D-4E8D51EF7EB6}" uniqueName="4" name="Objective" queryTableFieldId="4" dataDxfId="44"/>
    <tableColumn id="5" xr3:uid="{30AF088E-0C29-49CE-BB92-283D498D50A4}" uniqueName="5" name="Total_Budget" queryTableFieldId="5"/>
    <tableColumn id="6" xr3:uid="{C3CE5F1F-82BE-46C9-B30C-D60319F05F8A}" uniqueName="6" name="Target_Platforms" queryTableFieldId="6"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A60F8B-BF8B-46B2-9403-1365429FB11B}" name="Hashtag_Data_Clean" displayName="Hashtag_Data_Clean" ref="A1:N457" tableType="queryTable" totalsRowShown="0">
  <autoFilter ref="A1:N457" xr:uid="{CFA60F8B-BF8B-46B2-9403-1365429FB11B}"/>
  <tableColumns count="14">
    <tableColumn id="1" xr3:uid="{EC95C9E5-5B0E-4C77-90DE-1E91062C09C1}" uniqueName="1" name="Post ID" queryTableFieldId="1" dataDxfId="42"/>
    <tableColumn id="3" xr3:uid="{0D2A60B8-353C-4756-A144-A623D560C304}" uniqueName="3" name="Platform" queryTableFieldId="3" dataDxfId="41"/>
    <tableColumn id="4" xr3:uid="{86E92029-1865-4B69-939D-511DFC0F04B1}" uniqueName="4" name="Date" queryTableFieldId="4" dataDxfId="40"/>
    <tableColumn id="5" xr3:uid="{9EFC1492-2D5E-465A-A636-DB18D1A9B83D}" uniqueName="5" name="Content Type" queryTableFieldId="5" dataDxfId="39"/>
    <tableColumn id="6" xr3:uid="{0FF24014-FC2E-415F-8AD1-05178414CB3B}" uniqueName="6" name="Post Text" queryTableFieldId="6" dataDxfId="38"/>
    <tableColumn id="7" xr3:uid="{806D1CAA-BACD-4B00-8FDA-E9101F368763}" uniqueName="7" name="Likes" queryTableFieldId="7"/>
    <tableColumn id="8" xr3:uid="{6BE5CF37-950D-4E4E-8DDA-46A815DD93A3}" uniqueName="8" name="Shares" queryTableFieldId="8"/>
    <tableColumn id="9" xr3:uid="{B333ACC2-0333-4D06-8183-D0B9FC9CE380}" uniqueName="9" name="Comments" queryTableFieldId="9"/>
    <tableColumn id="10" xr3:uid="{B3FF4AFF-467D-4065-8C9D-5FE42D449870}" uniqueName="10" name="Impressions" queryTableFieldId="10"/>
    <tableColumn id="11" xr3:uid="{AF38B88F-32CB-470B-B1D3-877F71F80657}" uniqueName="11" name="Reach" queryTableFieldId="11"/>
    <tableColumn id="12" xr3:uid="{2DB2D595-BE2E-4BB3-8554-6255CFCE9550}" uniqueName="12" name="Clicks" queryTableFieldId="12"/>
    <tableColumn id="2" xr3:uid="{A6770F56-6A16-4126-ADEA-C7CA71983D8E}" uniqueName="2" name="Hashtags Used" queryTableFieldId="2" dataDxfId="37"/>
    <tableColumn id="13" xr3:uid="{241EE279-18E4-47B2-8FB7-87801DB0B9D9}" uniqueName="13" name="Campaign_Name" queryTableFieldId="13" dataDxfId="36"/>
    <tableColumn id="14" xr3:uid="{CC9E015A-CF13-42DA-8DA6-C7D92EA91500}" uniqueName="14" name="Engagement" queryTableFieldId="24" dataDxfId="35" dataCellStyle="Percent"/>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278CAC-0938-4554-95F9-0B391229BF2D}" name="Table1" displayName="Table1" ref="A1:M301" totalsRowShown="0" headerRowDxfId="16" dataDxfId="14" headerRowBorderDxfId="15" tableBorderDxfId="13">
  <autoFilter ref="A1:M301" xr:uid="{FD278CAC-0938-4554-95F9-0B391229BF2D}"/>
  <tableColumns count="13">
    <tableColumn id="1" xr3:uid="{ACE54FF9-448E-4006-A6B7-255BD1FA3A7E}" name="Post ID" dataDxfId="12"/>
    <tableColumn id="2" xr3:uid="{E81C9ECC-8274-4E80-9F66-37238BA53565}" name="Platform" dataDxfId="11"/>
    <tableColumn id="3" xr3:uid="{4AE2AC5C-F9C6-4FBB-ABA7-F9D9A4AE7A7D}" name="Date" dataDxfId="10"/>
    <tableColumn id="4" xr3:uid="{F7E409F0-9D49-4C5A-AF27-AE6C8A53511D}" name="Content Type" dataDxfId="9"/>
    <tableColumn id="5" xr3:uid="{CD7E99DF-2CAF-40D2-820C-7AB1E2F8C649}" name="Post Text" dataDxfId="8"/>
    <tableColumn id="6" xr3:uid="{BA4F078F-141E-4479-AE37-B9A9EA6DF158}" name="Likes" dataDxfId="7"/>
    <tableColumn id="7" xr3:uid="{812496D8-58CB-4356-BE53-6B0F91030BBF}" name="Shares" dataDxfId="6"/>
    <tableColumn id="8" xr3:uid="{C2954306-D34E-4C94-BFB2-095A1CE75A84}" name="Comments" dataDxfId="5"/>
    <tableColumn id="9" xr3:uid="{69A980BA-C7DD-4C57-BB68-5FA0D99F90BF}" name="Impressions" dataDxfId="4"/>
    <tableColumn id="10" xr3:uid="{2601BFF2-5FD1-4937-82CD-DBB97E936F6B}" name="Reach" dataDxfId="3"/>
    <tableColumn id="11" xr3:uid="{2E881719-C35A-4EE5-91E8-664979D89653}" name="Clicks" dataDxfId="2"/>
    <tableColumn id="12" xr3:uid="{1B25F784-EFB5-416F-A11C-AE3721BEF41F}" name="Hashtags Used" dataDxfId="1"/>
    <tableColumn id="13" xr3:uid="{2B0EF3A1-75D4-4D2F-BCF0-03E727FF5427}" name="Campaign_Nam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5.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8.xml"/><Relationship Id="rId4"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microsoft.com/office/2007/relationships/slicer" Target="../slicers/slicer2.xml"/><Relationship Id="rId5" Type="http://schemas.openxmlformats.org/officeDocument/2006/relationships/drawing" Target="../drawings/drawing9.xml"/><Relationship Id="rId4"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45F08-8ED0-4920-B5AD-4194F3E2D071}">
  <dimension ref="A1:P301"/>
  <sheetViews>
    <sheetView topLeftCell="H1" workbookViewId="0">
      <selection activeCell="N2" sqref="N2"/>
    </sheetView>
  </sheetViews>
  <sheetFormatPr defaultRowHeight="14.4" x14ac:dyDescent="0.3"/>
  <cols>
    <col min="1" max="1" width="9.109375" bestFit="1" customWidth="1"/>
    <col min="2" max="2" width="10.5546875" bestFit="1" customWidth="1"/>
    <col min="3" max="3" width="10.33203125" bestFit="1" customWidth="1"/>
    <col min="4" max="4" width="14.5546875" bestFit="1" customWidth="1"/>
    <col min="5" max="5" width="49.6640625" bestFit="1" customWidth="1"/>
    <col min="6" max="6" width="7.33203125" bestFit="1" customWidth="1"/>
    <col min="7" max="7" width="8.77734375" bestFit="1" customWidth="1"/>
    <col min="8" max="8" width="12.33203125" bestFit="1" customWidth="1"/>
    <col min="9" max="9" width="13.21875" bestFit="1" customWidth="1"/>
    <col min="10" max="10" width="8.33203125" bestFit="1" customWidth="1"/>
    <col min="11" max="11" width="7.88671875" bestFit="1" customWidth="1"/>
    <col min="12" max="12" width="29.77734375" bestFit="1" customWidth="1"/>
    <col min="13" max="13" width="17.77734375" bestFit="1" customWidth="1"/>
    <col min="14" max="14" width="18.109375" bestFit="1" customWidth="1"/>
    <col min="15" max="15" width="18" bestFit="1" customWidth="1"/>
    <col min="16" max="16" width="17.77734375" customWidth="1"/>
    <col min="17" max="18" width="18.109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575</v>
      </c>
      <c r="O1" t="s">
        <v>556</v>
      </c>
      <c r="P1" t="s">
        <v>584</v>
      </c>
    </row>
    <row r="2" spans="1:16" x14ac:dyDescent="0.3">
      <c r="A2" t="s">
        <v>13</v>
      </c>
      <c r="B2" t="s">
        <v>14</v>
      </c>
      <c r="C2" s="11">
        <v>45649</v>
      </c>
      <c r="D2" t="s">
        <v>16</v>
      </c>
      <c r="E2" t="s">
        <v>17</v>
      </c>
      <c r="F2">
        <v>1461</v>
      </c>
      <c r="G2">
        <v>184</v>
      </c>
      <c r="H2">
        <v>344</v>
      </c>
      <c r="I2">
        <v>21915</v>
      </c>
      <c r="J2">
        <v>21675</v>
      </c>
      <c r="K2">
        <v>15</v>
      </c>
      <c r="L2" t="s">
        <v>18</v>
      </c>
      <c r="M2" t="s">
        <v>19</v>
      </c>
      <c r="N2" s="14">
        <v>9.0759753593429152E-2</v>
      </c>
      <c r="O2" s="11">
        <v>45648</v>
      </c>
      <c r="P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3" spans="1:16" x14ac:dyDescent="0.3">
      <c r="A3" t="s">
        <v>20</v>
      </c>
      <c r="B3" t="s">
        <v>14</v>
      </c>
      <c r="C3" s="11">
        <v>45750</v>
      </c>
      <c r="D3" t="s">
        <v>22</v>
      </c>
      <c r="E3" t="s">
        <v>23</v>
      </c>
      <c r="F3">
        <v>4054</v>
      </c>
      <c r="G3">
        <v>389</v>
      </c>
      <c r="H3">
        <v>493</v>
      </c>
      <c r="I3">
        <v>64864</v>
      </c>
      <c r="J3">
        <v>64383</v>
      </c>
      <c r="K3">
        <v>117</v>
      </c>
      <c r="L3" t="s">
        <v>24</v>
      </c>
      <c r="M3" t="s">
        <v>25</v>
      </c>
      <c r="N3" s="14">
        <v>7.6097681302417369E-2</v>
      </c>
      <c r="O3" s="11">
        <v>45746</v>
      </c>
      <c r="P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 spans="1:16" x14ac:dyDescent="0.3">
      <c r="A4" t="s">
        <v>26</v>
      </c>
      <c r="B4" t="s">
        <v>576</v>
      </c>
      <c r="C4" s="11">
        <v>45789</v>
      </c>
      <c r="D4" t="s">
        <v>16</v>
      </c>
      <c r="E4" t="s">
        <v>17</v>
      </c>
      <c r="F4">
        <v>2795</v>
      </c>
      <c r="G4">
        <v>105</v>
      </c>
      <c r="H4">
        <v>49</v>
      </c>
      <c r="I4">
        <v>53105</v>
      </c>
      <c r="J4">
        <v>52307</v>
      </c>
      <c r="K4">
        <v>204</v>
      </c>
      <c r="L4" t="s">
        <v>29</v>
      </c>
      <c r="M4" t="s">
        <v>19</v>
      </c>
      <c r="N4" s="14">
        <v>5.5531494209584788E-2</v>
      </c>
      <c r="O4" s="11">
        <v>45788</v>
      </c>
      <c r="P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5" spans="1:16" x14ac:dyDescent="0.3">
      <c r="A5" t="s">
        <v>30</v>
      </c>
      <c r="B5" t="s">
        <v>31</v>
      </c>
      <c r="C5" s="11">
        <v>45516</v>
      </c>
      <c r="D5" t="s">
        <v>33</v>
      </c>
      <c r="E5" t="s">
        <v>34</v>
      </c>
      <c r="F5">
        <v>2404</v>
      </c>
      <c r="G5">
        <v>363</v>
      </c>
      <c r="H5">
        <v>138</v>
      </c>
      <c r="I5">
        <v>19232</v>
      </c>
      <c r="J5">
        <v>18636</v>
      </c>
      <c r="K5">
        <v>128</v>
      </c>
      <c r="L5" t="s">
        <v>18</v>
      </c>
      <c r="M5" t="s">
        <v>19</v>
      </c>
      <c r="N5" s="14">
        <v>0.15105033277870217</v>
      </c>
      <c r="O5" s="11">
        <v>45515</v>
      </c>
      <c r="P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6" spans="1:16" x14ac:dyDescent="0.3">
      <c r="A6" t="s">
        <v>35</v>
      </c>
      <c r="B6" t="s">
        <v>576</v>
      </c>
      <c r="C6" s="11">
        <v>45469</v>
      </c>
      <c r="D6" t="s">
        <v>16</v>
      </c>
      <c r="E6" t="s">
        <v>17</v>
      </c>
      <c r="F6">
        <v>3557</v>
      </c>
      <c r="G6">
        <v>687</v>
      </c>
      <c r="H6">
        <v>424</v>
      </c>
      <c r="I6">
        <v>71140</v>
      </c>
      <c r="J6">
        <v>70701</v>
      </c>
      <c r="K6">
        <v>224</v>
      </c>
      <c r="L6" t="s">
        <v>37</v>
      </c>
      <c r="M6" t="s">
        <v>38</v>
      </c>
      <c r="N6" s="14">
        <v>6.5617093055946027E-2</v>
      </c>
      <c r="O6" s="11">
        <v>45466</v>
      </c>
      <c r="P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7" spans="1:16" x14ac:dyDescent="0.3">
      <c r="A7" t="s">
        <v>39</v>
      </c>
      <c r="B7" t="s">
        <v>40</v>
      </c>
      <c r="C7" s="11">
        <v>45596</v>
      </c>
      <c r="D7" t="s">
        <v>42</v>
      </c>
      <c r="E7" t="s">
        <v>43</v>
      </c>
      <c r="F7">
        <v>2945</v>
      </c>
      <c r="G7">
        <v>930</v>
      </c>
      <c r="H7">
        <v>355</v>
      </c>
      <c r="I7">
        <v>23560</v>
      </c>
      <c r="J7">
        <v>23275</v>
      </c>
      <c r="K7">
        <v>256</v>
      </c>
      <c r="L7" t="s">
        <v>44</v>
      </c>
      <c r="M7" t="s">
        <v>25</v>
      </c>
      <c r="N7" s="14">
        <v>0.17954159592529711</v>
      </c>
      <c r="O7" s="11">
        <v>45592</v>
      </c>
      <c r="P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8" spans="1:16" x14ac:dyDescent="0.3">
      <c r="A8" t="s">
        <v>45</v>
      </c>
      <c r="B8" t="s">
        <v>14</v>
      </c>
      <c r="C8" s="11">
        <v>45467</v>
      </c>
      <c r="D8" t="s">
        <v>42</v>
      </c>
      <c r="E8" t="s">
        <v>43</v>
      </c>
      <c r="F8">
        <v>3860</v>
      </c>
      <c r="G8">
        <v>201</v>
      </c>
      <c r="H8">
        <v>279</v>
      </c>
      <c r="I8">
        <v>61760</v>
      </c>
      <c r="J8">
        <v>61660</v>
      </c>
      <c r="K8">
        <v>235</v>
      </c>
      <c r="L8" t="s">
        <v>44</v>
      </c>
      <c r="M8" t="s">
        <v>38</v>
      </c>
      <c r="N8" s="14">
        <v>7.0272020725388601E-2</v>
      </c>
      <c r="O8" s="11">
        <v>45466</v>
      </c>
      <c r="P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9" spans="1:16" x14ac:dyDescent="0.3">
      <c r="A9" t="s">
        <v>47</v>
      </c>
      <c r="B9" t="s">
        <v>576</v>
      </c>
      <c r="C9" s="11">
        <v>45486</v>
      </c>
      <c r="D9" t="s">
        <v>49</v>
      </c>
      <c r="E9" t="s">
        <v>50</v>
      </c>
      <c r="F9">
        <v>3929</v>
      </c>
      <c r="G9">
        <v>262</v>
      </c>
      <c r="H9">
        <v>278</v>
      </c>
      <c r="I9">
        <v>43219</v>
      </c>
      <c r="J9">
        <v>42841</v>
      </c>
      <c r="K9">
        <v>39</v>
      </c>
      <c r="L9" t="s">
        <v>29</v>
      </c>
      <c r="M9" t="s">
        <v>38</v>
      </c>
      <c r="N9" s="14">
        <v>0.10340359564080613</v>
      </c>
      <c r="O9" s="11">
        <v>45480</v>
      </c>
      <c r="P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0" spans="1:16" x14ac:dyDescent="0.3">
      <c r="A10" t="s">
        <v>51</v>
      </c>
      <c r="B10" t="s">
        <v>40</v>
      </c>
      <c r="C10" s="11">
        <v>45534</v>
      </c>
      <c r="D10" t="s">
        <v>22</v>
      </c>
      <c r="E10" t="s">
        <v>23</v>
      </c>
      <c r="F10">
        <v>3784</v>
      </c>
      <c r="G10">
        <v>808</v>
      </c>
      <c r="H10">
        <v>404</v>
      </c>
      <c r="I10">
        <v>56760</v>
      </c>
      <c r="J10">
        <v>56343</v>
      </c>
      <c r="K10">
        <v>131</v>
      </c>
      <c r="L10" t="s">
        <v>29</v>
      </c>
      <c r="M10" t="s">
        <v>38</v>
      </c>
      <c r="N10" s="14">
        <v>8.8019732205778717E-2</v>
      </c>
      <c r="O10" s="11">
        <v>45529</v>
      </c>
      <c r="P1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1" spans="1:16" x14ac:dyDescent="0.3">
      <c r="A11" t="s">
        <v>53</v>
      </c>
      <c r="B11" t="s">
        <v>40</v>
      </c>
      <c r="C11" s="11">
        <v>45727</v>
      </c>
      <c r="D11" t="s">
        <v>49</v>
      </c>
      <c r="E11" t="s">
        <v>50</v>
      </c>
      <c r="F11">
        <v>4241</v>
      </c>
      <c r="G11">
        <v>902</v>
      </c>
      <c r="H11">
        <v>47</v>
      </c>
      <c r="I11">
        <v>72097</v>
      </c>
      <c r="J11">
        <v>71598</v>
      </c>
      <c r="K11">
        <v>167</v>
      </c>
      <c r="L11" t="s">
        <v>44</v>
      </c>
      <c r="M11" t="s">
        <v>55</v>
      </c>
      <c r="N11" s="14">
        <v>7.198635172059864E-2</v>
      </c>
      <c r="O11" s="11">
        <v>45725</v>
      </c>
      <c r="P1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2" spans="1:16" x14ac:dyDescent="0.3">
      <c r="A12" t="s">
        <v>56</v>
      </c>
      <c r="B12" t="s">
        <v>31</v>
      </c>
      <c r="C12" s="11">
        <v>45690</v>
      </c>
      <c r="D12" t="s">
        <v>33</v>
      </c>
      <c r="E12" t="s">
        <v>34</v>
      </c>
      <c r="F12">
        <v>1792</v>
      </c>
      <c r="G12">
        <v>614</v>
      </c>
      <c r="H12">
        <v>497</v>
      </c>
      <c r="I12">
        <v>25088</v>
      </c>
      <c r="J12">
        <v>24675</v>
      </c>
      <c r="K12">
        <v>65</v>
      </c>
      <c r="L12" t="s">
        <v>58</v>
      </c>
      <c r="M12" t="s">
        <v>19</v>
      </c>
      <c r="N12" s="14">
        <v>0.11571269132653061</v>
      </c>
      <c r="O12" s="11">
        <v>45690</v>
      </c>
      <c r="P1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3" spans="1:16" x14ac:dyDescent="0.3">
      <c r="A13" t="s">
        <v>59</v>
      </c>
      <c r="B13" t="s">
        <v>40</v>
      </c>
      <c r="C13" s="11">
        <v>45494</v>
      </c>
      <c r="D13" t="s">
        <v>16</v>
      </c>
      <c r="E13" t="s">
        <v>17</v>
      </c>
      <c r="F13">
        <v>1946</v>
      </c>
      <c r="G13">
        <v>686</v>
      </c>
      <c r="H13">
        <v>377</v>
      </c>
      <c r="I13">
        <v>23352</v>
      </c>
      <c r="J13">
        <v>22982</v>
      </c>
      <c r="K13">
        <v>213</v>
      </c>
      <c r="L13" t="s">
        <v>61</v>
      </c>
      <c r="M13" t="s">
        <v>38</v>
      </c>
      <c r="N13" s="14">
        <v>0.12885405960945528</v>
      </c>
      <c r="O13" s="11">
        <v>45494</v>
      </c>
      <c r="P1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4" spans="1:16" x14ac:dyDescent="0.3">
      <c r="A14" t="s">
        <v>62</v>
      </c>
      <c r="B14" t="s">
        <v>576</v>
      </c>
      <c r="C14" s="11">
        <v>45614</v>
      </c>
      <c r="D14" t="s">
        <v>42</v>
      </c>
      <c r="E14" t="s">
        <v>43</v>
      </c>
      <c r="F14">
        <v>1171</v>
      </c>
      <c r="G14">
        <v>286</v>
      </c>
      <c r="H14">
        <v>231</v>
      </c>
      <c r="I14">
        <v>22249</v>
      </c>
      <c r="J14">
        <v>21282</v>
      </c>
      <c r="K14">
        <v>114</v>
      </c>
      <c r="L14" t="s">
        <v>24</v>
      </c>
      <c r="M14" t="s">
        <v>55</v>
      </c>
      <c r="N14" s="14">
        <v>7.5868578363072495E-2</v>
      </c>
      <c r="O14" s="11">
        <v>45613</v>
      </c>
      <c r="P1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5" spans="1:16" x14ac:dyDescent="0.3">
      <c r="A15" t="s">
        <v>64</v>
      </c>
      <c r="B15" t="s">
        <v>40</v>
      </c>
      <c r="C15" s="11">
        <v>45704</v>
      </c>
      <c r="D15" t="s">
        <v>33</v>
      </c>
      <c r="E15" t="s">
        <v>34</v>
      </c>
      <c r="F15">
        <v>4242</v>
      </c>
      <c r="G15">
        <v>555</v>
      </c>
      <c r="H15">
        <v>131</v>
      </c>
      <c r="I15">
        <v>33936</v>
      </c>
      <c r="J15">
        <v>33802</v>
      </c>
      <c r="K15">
        <v>265</v>
      </c>
      <c r="L15" t="s">
        <v>66</v>
      </c>
      <c r="M15" t="s">
        <v>38</v>
      </c>
      <c r="N15" s="14">
        <v>0.14521452145214522</v>
      </c>
      <c r="O15" s="11">
        <v>45704</v>
      </c>
      <c r="P1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6" spans="1:16" x14ac:dyDescent="0.3">
      <c r="A16" t="s">
        <v>67</v>
      </c>
      <c r="B16" t="s">
        <v>40</v>
      </c>
      <c r="C16" s="11">
        <v>45589</v>
      </c>
      <c r="D16" t="s">
        <v>69</v>
      </c>
      <c r="E16" t="s">
        <v>70</v>
      </c>
      <c r="F16">
        <v>3888</v>
      </c>
      <c r="G16">
        <v>604</v>
      </c>
      <c r="H16">
        <v>128</v>
      </c>
      <c r="I16">
        <v>77760</v>
      </c>
      <c r="J16">
        <v>77167</v>
      </c>
      <c r="K16">
        <v>20</v>
      </c>
      <c r="L16" t="s">
        <v>71</v>
      </c>
      <c r="M16" t="s">
        <v>19</v>
      </c>
      <c r="N16" s="14">
        <v>5.941358024691358E-2</v>
      </c>
      <c r="O16" s="11">
        <v>45585</v>
      </c>
      <c r="P1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7" spans="1:16" x14ac:dyDescent="0.3">
      <c r="A17" t="s">
        <v>72</v>
      </c>
      <c r="B17" t="s">
        <v>40</v>
      </c>
      <c r="C17" s="11">
        <v>45530</v>
      </c>
      <c r="D17" t="s">
        <v>22</v>
      </c>
      <c r="E17" t="s">
        <v>23</v>
      </c>
      <c r="F17">
        <v>3452</v>
      </c>
      <c r="G17">
        <v>377</v>
      </c>
      <c r="H17">
        <v>360</v>
      </c>
      <c r="I17">
        <v>55232</v>
      </c>
      <c r="J17">
        <v>55075</v>
      </c>
      <c r="K17">
        <v>87</v>
      </c>
      <c r="L17" t="s">
        <v>74</v>
      </c>
      <c r="M17" t="s">
        <v>38</v>
      </c>
      <c r="N17" s="14">
        <v>7.5843713789107758E-2</v>
      </c>
      <c r="O17" s="11">
        <v>45529</v>
      </c>
      <c r="P1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8" spans="1:16" x14ac:dyDescent="0.3">
      <c r="A18" t="s">
        <v>75</v>
      </c>
      <c r="B18" t="s">
        <v>40</v>
      </c>
      <c r="C18" s="11">
        <v>45782</v>
      </c>
      <c r="D18" t="s">
        <v>22</v>
      </c>
      <c r="E18" t="s">
        <v>23</v>
      </c>
      <c r="F18">
        <v>4441</v>
      </c>
      <c r="G18">
        <v>511</v>
      </c>
      <c r="H18">
        <v>70</v>
      </c>
      <c r="I18">
        <v>53292</v>
      </c>
      <c r="J18">
        <v>53082</v>
      </c>
      <c r="K18">
        <v>159</v>
      </c>
      <c r="L18" t="s">
        <v>77</v>
      </c>
      <c r="M18" t="s">
        <v>38</v>
      </c>
      <c r="N18" s="14">
        <v>9.4235532537716729E-2</v>
      </c>
      <c r="O18" s="11">
        <v>45781</v>
      </c>
      <c r="P1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9" spans="1:16" x14ac:dyDescent="0.3">
      <c r="A19" t="s">
        <v>78</v>
      </c>
      <c r="B19" t="s">
        <v>31</v>
      </c>
      <c r="C19" s="11">
        <v>45523</v>
      </c>
      <c r="D19" t="s">
        <v>16</v>
      </c>
      <c r="E19" t="s">
        <v>17</v>
      </c>
      <c r="F19">
        <v>3000</v>
      </c>
      <c r="G19">
        <v>382</v>
      </c>
      <c r="H19">
        <v>325</v>
      </c>
      <c r="I19">
        <v>36000</v>
      </c>
      <c r="J19">
        <v>35819</v>
      </c>
      <c r="K19">
        <v>19</v>
      </c>
      <c r="L19" t="s">
        <v>58</v>
      </c>
      <c r="M19" t="s">
        <v>25</v>
      </c>
      <c r="N19" s="14">
        <v>0.10297222222222223</v>
      </c>
      <c r="O19" s="11">
        <v>45522</v>
      </c>
      <c r="P1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0" spans="1:16" x14ac:dyDescent="0.3">
      <c r="A20" t="s">
        <v>80</v>
      </c>
      <c r="B20" t="s">
        <v>31</v>
      </c>
      <c r="C20" s="11">
        <v>45466</v>
      </c>
      <c r="D20" t="s">
        <v>69</v>
      </c>
      <c r="E20" t="s">
        <v>70</v>
      </c>
      <c r="F20">
        <v>1071</v>
      </c>
      <c r="G20">
        <v>519</v>
      </c>
      <c r="H20">
        <v>22</v>
      </c>
      <c r="I20">
        <v>16065</v>
      </c>
      <c r="J20">
        <v>15865</v>
      </c>
      <c r="K20">
        <v>103</v>
      </c>
      <c r="L20" t="s">
        <v>82</v>
      </c>
      <c r="M20" t="s">
        <v>38</v>
      </c>
      <c r="N20" s="14">
        <v>0.10034235916588857</v>
      </c>
      <c r="O20" s="11">
        <v>45466</v>
      </c>
      <c r="P2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1" spans="1:16" x14ac:dyDescent="0.3">
      <c r="A21" t="s">
        <v>83</v>
      </c>
      <c r="B21" t="s">
        <v>31</v>
      </c>
      <c r="C21" s="11">
        <v>45544</v>
      </c>
      <c r="D21" t="s">
        <v>42</v>
      </c>
      <c r="E21" t="s">
        <v>43</v>
      </c>
      <c r="F21">
        <v>4054</v>
      </c>
      <c r="G21">
        <v>488</v>
      </c>
      <c r="H21">
        <v>373</v>
      </c>
      <c r="I21">
        <v>77026</v>
      </c>
      <c r="J21">
        <v>76881</v>
      </c>
      <c r="K21">
        <v>25</v>
      </c>
      <c r="L21" t="s">
        <v>29</v>
      </c>
      <c r="M21" t="s">
        <v>38</v>
      </c>
      <c r="N21" s="14">
        <v>6.3809622724794221E-2</v>
      </c>
      <c r="O21" s="11">
        <v>45543</v>
      </c>
      <c r="P2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2" spans="1:16" x14ac:dyDescent="0.3">
      <c r="A22" t="s">
        <v>85</v>
      </c>
      <c r="B22" t="s">
        <v>31</v>
      </c>
      <c r="C22" s="11">
        <v>45661</v>
      </c>
      <c r="D22" t="s">
        <v>16</v>
      </c>
      <c r="E22" t="s">
        <v>17</v>
      </c>
      <c r="F22">
        <v>4838</v>
      </c>
      <c r="G22">
        <v>640</v>
      </c>
      <c r="H22">
        <v>128</v>
      </c>
      <c r="I22">
        <v>72570</v>
      </c>
      <c r="J22">
        <v>72396</v>
      </c>
      <c r="K22">
        <v>83</v>
      </c>
      <c r="L22" t="s">
        <v>87</v>
      </c>
      <c r="M22" t="s">
        <v>38</v>
      </c>
      <c r="N22" s="14">
        <v>7.7249552156538517E-2</v>
      </c>
      <c r="O22" s="11">
        <v>45655</v>
      </c>
      <c r="P2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3" spans="1:16" x14ac:dyDescent="0.3">
      <c r="A23" t="s">
        <v>88</v>
      </c>
      <c r="B23" t="s">
        <v>40</v>
      </c>
      <c r="C23" s="11">
        <v>45715</v>
      </c>
      <c r="D23" t="s">
        <v>22</v>
      </c>
      <c r="E23" t="s">
        <v>23</v>
      </c>
      <c r="F23">
        <v>1570</v>
      </c>
      <c r="G23">
        <v>187</v>
      </c>
      <c r="H23">
        <v>260</v>
      </c>
      <c r="I23">
        <v>25120</v>
      </c>
      <c r="J23">
        <v>24613</v>
      </c>
      <c r="K23">
        <v>133</v>
      </c>
      <c r="L23" t="s">
        <v>18</v>
      </c>
      <c r="M23" t="s">
        <v>55</v>
      </c>
      <c r="N23" s="14">
        <v>8.0294585987261149E-2</v>
      </c>
      <c r="O23" s="11">
        <v>45711</v>
      </c>
      <c r="P2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4" spans="1:16" x14ac:dyDescent="0.3">
      <c r="A24" t="s">
        <v>90</v>
      </c>
      <c r="B24" t="s">
        <v>40</v>
      </c>
      <c r="C24" s="11">
        <v>45602</v>
      </c>
      <c r="D24" t="s">
        <v>69</v>
      </c>
      <c r="E24" t="s">
        <v>70</v>
      </c>
      <c r="F24">
        <v>1606</v>
      </c>
      <c r="G24">
        <v>547</v>
      </c>
      <c r="H24">
        <v>316</v>
      </c>
      <c r="I24">
        <v>32120</v>
      </c>
      <c r="J24">
        <v>31736</v>
      </c>
      <c r="K24">
        <v>225</v>
      </c>
      <c r="L24" t="s">
        <v>18</v>
      </c>
      <c r="M24" t="s">
        <v>38</v>
      </c>
      <c r="N24" s="14">
        <v>7.6867995018679955E-2</v>
      </c>
      <c r="O24" s="11">
        <v>45599</v>
      </c>
      <c r="P2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5" spans="1:16" x14ac:dyDescent="0.3">
      <c r="A25" t="s">
        <v>92</v>
      </c>
      <c r="B25" t="s">
        <v>40</v>
      </c>
      <c r="C25" s="11">
        <v>45680</v>
      </c>
      <c r="D25" t="s">
        <v>69</v>
      </c>
      <c r="E25" t="s">
        <v>70</v>
      </c>
      <c r="F25">
        <v>3961</v>
      </c>
      <c r="G25">
        <v>761</v>
      </c>
      <c r="H25">
        <v>131</v>
      </c>
      <c r="I25">
        <v>67337</v>
      </c>
      <c r="J25">
        <v>66615</v>
      </c>
      <c r="K25">
        <v>161</v>
      </c>
      <c r="L25" t="s">
        <v>44</v>
      </c>
      <c r="M25" t="s">
        <v>25</v>
      </c>
      <c r="N25" s="14">
        <v>7.2070332803659209E-2</v>
      </c>
      <c r="O25" s="11">
        <v>45676</v>
      </c>
      <c r="P2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6" spans="1:16" x14ac:dyDescent="0.3">
      <c r="A26" t="s">
        <v>94</v>
      </c>
      <c r="B26" t="s">
        <v>14</v>
      </c>
      <c r="C26" s="11">
        <v>45757</v>
      </c>
      <c r="D26" t="s">
        <v>42</v>
      </c>
      <c r="E26" t="s">
        <v>43</v>
      </c>
      <c r="F26">
        <v>3128</v>
      </c>
      <c r="G26">
        <v>211</v>
      </c>
      <c r="H26">
        <v>197</v>
      </c>
      <c r="I26">
        <v>59432</v>
      </c>
      <c r="J26">
        <v>59182</v>
      </c>
      <c r="K26">
        <v>238</v>
      </c>
      <c r="L26" t="s">
        <v>61</v>
      </c>
      <c r="M26" t="s">
        <v>19</v>
      </c>
      <c r="N26" s="14">
        <v>5.9496567505720827E-2</v>
      </c>
      <c r="O26" s="11">
        <v>45753</v>
      </c>
      <c r="P2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7" spans="1:16" x14ac:dyDescent="0.3">
      <c r="A27" t="s">
        <v>96</v>
      </c>
      <c r="B27" t="s">
        <v>576</v>
      </c>
      <c r="C27" s="11">
        <v>45752</v>
      </c>
      <c r="D27" t="s">
        <v>16</v>
      </c>
      <c r="E27" t="s">
        <v>17</v>
      </c>
      <c r="F27">
        <v>3009</v>
      </c>
      <c r="G27">
        <v>413</v>
      </c>
      <c r="H27">
        <v>358</v>
      </c>
      <c r="I27">
        <v>42126</v>
      </c>
      <c r="J27">
        <v>41309</v>
      </c>
      <c r="K27">
        <v>211</v>
      </c>
      <c r="L27" t="s">
        <v>18</v>
      </c>
      <c r="M27" t="s">
        <v>25</v>
      </c>
      <c r="N27" s="14">
        <v>8.9730807577268201E-2</v>
      </c>
      <c r="O27" s="11">
        <v>45746</v>
      </c>
      <c r="P2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8" spans="1:16" x14ac:dyDescent="0.3">
      <c r="A28" t="s">
        <v>98</v>
      </c>
      <c r="B28" t="s">
        <v>576</v>
      </c>
      <c r="C28" s="11">
        <v>45552</v>
      </c>
      <c r="D28" t="s">
        <v>22</v>
      </c>
      <c r="E28" t="s">
        <v>23</v>
      </c>
      <c r="F28">
        <v>2076</v>
      </c>
      <c r="G28">
        <v>195</v>
      </c>
      <c r="H28">
        <v>104</v>
      </c>
      <c r="I28">
        <v>33216</v>
      </c>
      <c r="J28">
        <v>32244</v>
      </c>
      <c r="K28">
        <v>51</v>
      </c>
      <c r="L28" t="s">
        <v>44</v>
      </c>
      <c r="M28" t="s">
        <v>55</v>
      </c>
      <c r="N28" s="14">
        <v>7.1501685934489398E-2</v>
      </c>
      <c r="O28" s="11">
        <v>45550</v>
      </c>
      <c r="P2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9" spans="1:16" x14ac:dyDescent="0.3">
      <c r="A29" t="s">
        <v>100</v>
      </c>
      <c r="B29" t="s">
        <v>31</v>
      </c>
      <c r="C29" s="11">
        <v>45720</v>
      </c>
      <c r="D29" t="s">
        <v>69</v>
      </c>
      <c r="E29" t="s">
        <v>70</v>
      </c>
      <c r="F29">
        <v>432</v>
      </c>
      <c r="G29">
        <v>624</v>
      </c>
      <c r="H29">
        <v>123</v>
      </c>
      <c r="I29">
        <v>6912</v>
      </c>
      <c r="J29">
        <v>6259</v>
      </c>
      <c r="K29">
        <v>79</v>
      </c>
      <c r="L29" t="s">
        <v>102</v>
      </c>
      <c r="M29" t="s">
        <v>25</v>
      </c>
      <c r="N29" s="14">
        <v>0.17057291666666666</v>
      </c>
      <c r="O29" s="11">
        <v>45718</v>
      </c>
      <c r="P2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30" spans="1:16" x14ac:dyDescent="0.3">
      <c r="A30" t="s">
        <v>103</v>
      </c>
      <c r="B30" t="s">
        <v>31</v>
      </c>
      <c r="C30" s="11">
        <v>45688</v>
      </c>
      <c r="D30" t="s">
        <v>42</v>
      </c>
      <c r="E30" t="s">
        <v>43</v>
      </c>
      <c r="F30">
        <v>2566</v>
      </c>
      <c r="G30">
        <v>118</v>
      </c>
      <c r="H30">
        <v>37</v>
      </c>
      <c r="I30">
        <v>12830</v>
      </c>
      <c r="J30">
        <v>12264</v>
      </c>
      <c r="K30">
        <v>221</v>
      </c>
      <c r="L30" t="s">
        <v>105</v>
      </c>
      <c r="M30" t="s">
        <v>38</v>
      </c>
      <c r="N30" s="14">
        <v>0.21208106001558846</v>
      </c>
      <c r="O30" s="11">
        <v>45683</v>
      </c>
      <c r="P3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31" spans="1:16" x14ac:dyDescent="0.3">
      <c r="A31" t="s">
        <v>106</v>
      </c>
      <c r="B31" t="s">
        <v>31</v>
      </c>
      <c r="C31" s="11">
        <v>45713</v>
      </c>
      <c r="D31" t="s">
        <v>69</v>
      </c>
      <c r="E31" t="s">
        <v>70</v>
      </c>
      <c r="F31">
        <v>3095</v>
      </c>
      <c r="G31">
        <v>39</v>
      </c>
      <c r="H31">
        <v>78</v>
      </c>
      <c r="I31">
        <v>55710</v>
      </c>
      <c r="J31">
        <v>54808</v>
      </c>
      <c r="K31">
        <v>93</v>
      </c>
      <c r="L31" t="s">
        <v>18</v>
      </c>
      <c r="M31" t="s">
        <v>55</v>
      </c>
      <c r="N31" s="14">
        <v>5.7655717106444085E-2</v>
      </c>
      <c r="O31" s="11">
        <v>45711</v>
      </c>
      <c r="P3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32" spans="1:16" x14ac:dyDescent="0.3">
      <c r="A32" t="s">
        <v>108</v>
      </c>
      <c r="B32" t="s">
        <v>31</v>
      </c>
      <c r="C32" s="11">
        <v>45642</v>
      </c>
      <c r="D32" t="s">
        <v>22</v>
      </c>
      <c r="E32" t="s">
        <v>23</v>
      </c>
      <c r="F32">
        <v>438</v>
      </c>
      <c r="G32">
        <v>153</v>
      </c>
      <c r="H32">
        <v>275</v>
      </c>
      <c r="I32">
        <v>3066</v>
      </c>
      <c r="J32">
        <v>2701</v>
      </c>
      <c r="K32">
        <v>282</v>
      </c>
      <c r="L32" t="s">
        <v>44</v>
      </c>
      <c r="M32" t="s">
        <v>55</v>
      </c>
      <c r="N32" s="14">
        <v>0.28245270711024134</v>
      </c>
      <c r="O32" s="11">
        <v>45641</v>
      </c>
      <c r="P3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33" spans="1:16" x14ac:dyDescent="0.3">
      <c r="A33" t="s">
        <v>110</v>
      </c>
      <c r="B33" t="s">
        <v>14</v>
      </c>
      <c r="C33" s="11">
        <v>45504</v>
      </c>
      <c r="D33" t="s">
        <v>42</v>
      </c>
      <c r="E33" t="s">
        <v>43</v>
      </c>
      <c r="F33">
        <v>2278</v>
      </c>
      <c r="G33">
        <v>10</v>
      </c>
      <c r="H33">
        <v>321</v>
      </c>
      <c r="I33">
        <v>13668</v>
      </c>
      <c r="J33">
        <v>12676</v>
      </c>
      <c r="K33">
        <v>275</v>
      </c>
      <c r="L33" t="s">
        <v>105</v>
      </c>
      <c r="M33" t="s">
        <v>55</v>
      </c>
      <c r="N33" s="14">
        <v>0.19088381621305239</v>
      </c>
      <c r="O33" s="11">
        <v>45501</v>
      </c>
      <c r="P3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34" spans="1:16" x14ac:dyDescent="0.3">
      <c r="A34" t="s">
        <v>112</v>
      </c>
      <c r="B34" t="s">
        <v>40</v>
      </c>
      <c r="C34" s="11">
        <v>45525</v>
      </c>
      <c r="D34" t="s">
        <v>49</v>
      </c>
      <c r="E34" t="s">
        <v>50</v>
      </c>
      <c r="F34">
        <v>1407</v>
      </c>
      <c r="G34">
        <v>400</v>
      </c>
      <c r="H34">
        <v>351</v>
      </c>
      <c r="I34">
        <v>16884</v>
      </c>
      <c r="J34">
        <v>15954</v>
      </c>
      <c r="K34">
        <v>113</v>
      </c>
      <c r="L34" t="s">
        <v>71</v>
      </c>
      <c r="M34" t="s">
        <v>38</v>
      </c>
      <c r="N34" s="14">
        <v>0.12781331438047855</v>
      </c>
      <c r="O34" s="11">
        <v>45522</v>
      </c>
      <c r="P3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35" spans="1:16" x14ac:dyDescent="0.3">
      <c r="A35" t="s">
        <v>114</v>
      </c>
      <c r="B35" t="s">
        <v>40</v>
      </c>
      <c r="C35" s="11">
        <v>45742</v>
      </c>
      <c r="D35" t="s">
        <v>22</v>
      </c>
      <c r="E35" t="s">
        <v>23</v>
      </c>
      <c r="F35">
        <v>1652</v>
      </c>
      <c r="G35">
        <v>89</v>
      </c>
      <c r="H35">
        <v>357</v>
      </c>
      <c r="I35">
        <v>29736</v>
      </c>
      <c r="J35">
        <v>28771</v>
      </c>
      <c r="K35">
        <v>215</v>
      </c>
      <c r="L35" t="s">
        <v>116</v>
      </c>
      <c r="M35" t="s">
        <v>25</v>
      </c>
      <c r="N35" s="14">
        <v>7.055421038471886E-2</v>
      </c>
      <c r="O35" s="11">
        <v>45739</v>
      </c>
      <c r="P3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36" spans="1:16" x14ac:dyDescent="0.3">
      <c r="A36" t="s">
        <v>117</v>
      </c>
      <c r="B36" t="s">
        <v>31</v>
      </c>
      <c r="C36" s="11">
        <v>45626</v>
      </c>
      <c r="D36" t="s">
        <v>69</v>
      </c>
      <c r="E36" t="s">
        <v>70</v>
      </c>
      <c r="F36">
        <v>3775</v>
      </c>
      <c r="G36">
        <v>16</v>
      </c>
      <c r="H36">
        <v>239</v>
      </c>
      <c r="I36">
        <v>33975</v>
      </c>
      <c r="J36">
        <v>33310</v>
      </c>
      <c r="K36">
        <v>271</v>
      </c>
      <c r="L36" t="s">
        <v>61</v>
      </c>
      <c r="M36" t="s">
        <v>38</v>
      </c>
      <c r="N36" s="14">
        <v>0.11861662987490802</v>
      </c>
      <c r="O36" s="11">
        <v>45620</v>
      </c>
      <c r="P3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37" spans="1:16" x14ac:dyDescent="0.3">
      <c r="A37" t="s">
        <v>119</v>
      </c>
      <c r="B37" t="s">
        <v>31</v>
      </c>
      <c r="C37" s="11">
        <v>45766</v>
      </c>
      <c r="D37" t="s">
        <v>33</v>
      </c>
      <c r="E37" t="s">
        <v>34</v>
      </c>
      <c r="F37">
        <v>4518</v>
      </c>
      <c r="G37">
        <v>285</v>
      </c>
      <c r="H37">
        <v>383</v>
      </c>
      <c r="I37">
        <v>67770</v>
      </c>
      <c r="J37">
        <v>67621</v>
      </c>
      <c r="K37">
        <v>31</v>
      </c>
      <c r="L37" t="s">
        <v>77</v>
      </c>
      <c r="M37" t="s">
        <v>25</v>
      </c>
      <c r="N37" s="14">
        <v>7.6523535487678915E-2</v>
      </c>
      <c r="O37" s="11">
        <v>45760</v>
      </c>
      <c r="P3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38" spans="1:16" x14ac:dyDescent="0.3">
      <c r="A38" t="s">
        <v>121</v>
      </c>
      <c r="B38" t="s">
        <v>40</v>
      </c>
      <c r="C38" s="11">
        <v>45663</v>
      </c>
      <c r="D38" t="s">
        <v>42</v>
      </c>
      <c r="E38" t="s">
        <v>43</v>
      </c>
      <c r="F38">
        <v>3024</v>
      </c>
      <c r="G38">
        <v>925</v>
      </c>
      <c r="H38">
        <v>350</v>
      </c>
      <c r="I38">
        <v>24192</v>
      </c>
      <c r="J38">
        <v>23518</v>
      </c>
      <c r="K38">
        <v>36</v>
      </c>
      <c r="L38" t="s">
        <v>18</v>
      </c>
      <c r="M38" t="s">
        <v>38</v>
      </c>
      <c r="N38" s="14">
        <v>0.17770337301587302</v>
      </c>
      <c r="O38" s="11">
        <v>45662</v>
      </c>
      <c r="P3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39" spans="1:16" x14ac:dyDescent="0.3">
      <c r="A39" t="s">
        <v>123</v>
      </c>
      <c r="B39" t="s">
        <v>576</v>
      </c>
      <c r="C39" s="11">
        <v>45705</v>
      </c>
      <c r="D39" t="s">
        <v>16</v>
      </c>
      <c r="E39" t="s">
        <v>17</v>
      </c>
      <c r="F39">
        <v>3138</v>
      </c>
      <c r="G39">
        <v>123</v>
      </c>
      <c r="H39">
        <v>291</v>
      </c>
      <c r="I39">
        <v>28242</v>
      </c>
      <c r="J39">
        <v>27550</v>
      </c>
      <c r="K39">
        <v>87</v>
      </c>
      <c r="L39" t="s">
        <v>77</v>
      </c>
      <c r="M39" t="s">
        <v>55</v>
      </c>
      <c r="N39" s="14">
        <v>0.12577012959422137</v>
      </c>
      <c r="O39" s="11">
        <v>45704</v>
      </c>
      <c r="P3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0" spans="1:16" x14ac:dyDescent="0.3">
      <c r="A40" t="s">
        <v>125</v>
      </c>
      <c r="B40" t="s">
        <v>40</v>
      </c>
      <c r="C40" s="11">
        <v>45621</v>
      </c>
      <c r="D40" t="s">
        <v>49</v>
      </c>
      <c r="E40" t="s">
        <v>50</v>
      </c>
      <c r="F40">
        <v>3564</v>
      </c>
      <c r="G40">
        <v>629</v>
      </c>
      <c r="H40">
        <v>177</v>
      </c>
      <c r="I40">
        <v>60588</v>
      </c>
      <c r="J40">
        <v>59627</v>
      </c>
      <c r="K40">
        <v>92</v>
      </c>
      <c r="L40" t="s">
        <v>127</v>
      </c>
      <c r="M40" t="s">
        <v>38</v>
      </c>
      <c r="N40" s="14">
        <v>7.2126493695121141E-2</v>
      </c>
      <c r="O40" s="11">
        <v>45620</v>
      </c>
      <c r="P4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1" spans="1:16" x14ac:dyDescent="0.3">
      <c r="A41" t="s">
        <v>128</v>
      </c>
      <c r="B41" t="s">
        <v>14</v>
      </c>
      <c r="C41" s="11">
        <v>45723</v>
      </c>
      <c r="D41" t="s">
        <v>49</v>
      </c>
      <c r="E41" t="s">
        <v>50</v>
      </c>
      <c r="F41">
        <v>4750</v>
      </c>
      <c r="G41">
        <v>151</v>
      </c>
      <c r="H41">
        <v>415</v>
      </c>
      <c r="I41">
        <v>38000</v>
      </c>
      <c r="J41">
        <v>37792</v>
      </c>
      <c r="K41">
        <v>299</v>
      </c>
      <c r="L41" t="s">
        <v>61</v>
      </c>
      <c r="M41" t="s">
        <v>25</v>
      </c>
      <c r="N41" s="14">
        <v>0.13989473684210527</v>
      </c>
      <c r="O41" s="11">
        <v>45718</v>
      </c>
      <c r="P4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2" spans="1:16" x14ac:dyDescent="0.3">
      <c r="A42" t="s">
        <v>130</v>
      </c>
      <c r="B42" t="s">
        <v>31</v>
      </c>
      <c r="C42" s="11">
        <v>45724</v>
      </c>
      <c r="D42" t="s">
        <v>16</v>
      </c>
      <c r="E42" t="s">
        <v>17</v>
      </c>
      <c r="F42">
        <v>456</v>
      </c>
      <c r="G42">
        <v>629</v>
      </c>
      <c r="H42">
        <v>428</v>
      </c>
      <c r="I42">
        <v>8208</v>
      </c>
      <c r="J42">
        <v>7377</v>
      </c>
      <c r="K42">
        <v>205</v>
      </c>
      <c r="L42" t="s">
        <v>74</v>
      </c>
      <c r="M42" t="s">
        <v>38</v>
      </c>
      <c r="N42" s="14">
        <v>0.18433235867446393</v>
      </c>
      <c r="O42" s="11">
        <v>45718</v>
      </c>
      <c r="P4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3" spans="1:16" x14ac:dyDescent="0.3">
      <c r="A43" t="s">
        <v>132</v>
      </c>
      <c r="B43" t="s">
        <v>576</v>
      </c>
      <c r="C43" s="11">
        <v>45721</v>
      </c>
      <c r="D43" t="s">
        <v>16</v>
      </c>
      <c r="E43" t="s">
        <v>17</v>
      </c>
      <c r="F43">
        <v>1543</v>
      </c>
      <c r="G43">
        <v>820</v>
      </c>
      <c r="H43">
        <v>333</v>
      </c>
      <c r="I43">
        <v>12344</v>
      </c>
      <c r="J43">
        <v>11496</v>
      </c>
      <c r="K43">
        <v>241</v>
      </c>
      <c r="L43" t="s">
        <v>58</v>
      </c>
      <c r="M43" t="s">
        <v>38</v>
      </c>
      <c r="N43" s="14">
        <v>0.21840570317563188</v>
      </c>
      <c r="O43" s="11">
        <v>45718</v>
      </c>
      <c r="P4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4" spans="1:16" x14ac:dyDescent="0.3">
      <c r="A44" t="s">
        <v>134</v>
      </c>
      <c r="B44" t="s">
        <v>31</v>
      </c>
      <c r="C44" s="11">
        <v>45640</v>
      </c>
      <c r="D44" t="s">
        <v>42</v>
      </c>
      <c r="E44" t="s">
        <v>43</v>
      </c>
      <c r="F44">
        <v>2174</v>
      </c>
      <c r="G44">
        <v>658</v>
      </c>
      <c r="H44">
        <v>15</v>
      </c>
      <c r="I44">
        <v>13044</v>
      </c>
      <c r="J44">
        <v>12206</v>
      </c>
      <c r="K44">
        <v>137</v>
      </c>
      <c r="L44" t="s">
        <v>66</v>
      </c>
      <c r="M44" t="s">
        <v>55</v>
      </c>
      <c r="N44" s="14">
        <v>0.21826126954921804</v>
      </c>
      <c r="O44" s="11">
        <v>45634</v>
      </c>
      <c r="P4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45" spans="1:16" x14ac:dyDescent="0.3">
      <c r="A45" t="s">
        <v>136</v>
      </c>
      <c r="B45" t="s">
        <v>14</v>
      </c>
      <c r="C45" s="11">
        <v>45718</v>
      </c>
      <c r="D45" t="s">
        <v>49</v>
      </c>
      <c r="E45" t="s">
        <v>50</v>
      </c>
      <c r="F45">
        <v>2358</v>
      </c>
      <c r="G45">
        <v>784</v>
      </c>
      <c r="H45">
        <v>344</v>
      </c>
      <c r="I45">
        <v>35370</v>
      </c>
      <c r="J45">
        <v>34475</v>
      </c>
      <c r="K45">
        <v>216</v>
      </c>
      <c r="L45" t="s">
        <v>82</v>
      </c>
      <c r="M45" t="s">
        <v>19</v>
      </c>
      <c r="N45" s="14">
        <v>9.8558100084817649E-2</v>
      </c>
      <c r="O45" s="11">
        <v>45718</v>
      </c>
      <c r="P4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6" spans="1:16" x14ac:dyDescent="0.3">
      <c r="A46" t="s">
        <v>138</v>
      </c>
      <c r="B46" t="s">
        <v>40</v>
      </c>
      <c r="C46" s="11">
        <v>45597</v>
      </c>
      <c r="D46" t="s">
        <v>69</v>
      </c>
      <c r="E46" t="s">
        <v>70</v>
      </c>
      <c r="F46">
        <v>3371</v>
      </c>
      <c r="G46">
        <v>106</v>
      </c>
      <c r="H46">
        <v>327</v>
      </c>
      <c r="I46">
        <v>50565</v>
      </c>
      <c r="J46">
        <v>49816</v>
      </c>
      <c r="K46">
        <v>176</v>
      </c>
      <c r="L46" t="s">
        <v>77</v>
      </c>
      <c r="M46" t="s">
        <v>55</v>
      </c>
      <c r="N46" s="14">
        <v>7.5229902106199939E-2</v>
      </c>
      <c r="O46" s="11">
        <v>45592</v>
      </c>
      <c r="P4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47" spans="1:16" x14ac:dyDescent="0.3">
      <c r="A47" t="s">
        <v>140</v>
      </c>
      <c r="B47" t="s">
        <v>14</v>
      </c>
      <c r="C47" s="11">
        <v>45779</v>
      </c>
      <c r="D47" t="s">
        <v>69</v>
      </c>
      <c r="E47" t="s">
        <v>70</v>
      </c>
      <c r="F47">
        <v>1108</v>
      </c>
      <c r="G47">
        <v>177</v>
      </c>
      <c r="H47">
        <v>212</v>
      </c>
      <c r="I47">
        <v>8864</v>
      </c>
      <c r="J47">
        <v>8710</v>
      </c>
      <c r="K47">
        <v>97</v>
      </c>
      <c r="L47" t="s">
        <v>24</v>
      </c>
      <c r="M47" t="s">
        <v>55</v>
      </c>
      <c r="N47" s="14">
        <v>0.16888537906137185</v>
      </c>
      <c r="O47" s="11">
        <v>45774</v>
      </c>
      <c r="P4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8" spans="1:16" x14ac:dyDescent="0.3">
      <c r="A48" t="s">
        <v>142</v>
      </c>
      <c r="B48" t="s">
        <v>14</v>
      </c>
      <c r="C48" s="11">
        <v>45712</v>
      </c>
      <c r="D48" t="s">
        <v>42</v>
      </c>
      <c r="E48" t="s">
        <v>43</v>
      </c>
      <c r="F48">
        <v>2704</v>
      </c>
      <c r="G48">
        <v>752</v>
      </c>
      <c r="H48">
        <v>153</v>
      </c>
      <c r="I48">
        <v>21632</v>
      </c>
      <c r="J48">
        <v>20792</v>
      </c>
      <c r="K48">
        <v>127</v>
      </c>
      <c r="L48" t="s">
        <v>144</v>
      </c>
      <c r="M48" t="s">
        <v>19</v>
      </c>
      <c r="N48" s="14">
        <v>0.16683616863905326</v>
      </c>
      <c r="O48" s="11">
        <v>45711</v>
      </c>
      <c r="P4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49" spans="1:16" x14ac:dyDescent="0.3">
      <c r="A49" t="s">
        <v>145</v>
      </c>
      <c r="B49" t="s">
        <v>14</v>
      </c>
      <c r="C49" s="11">
        <v>45727</v>
      </c>
      <c r="D49" t="s">
        <v>33</v>
      </c>
      <c r="E49" t="s">
        <v>34</v>
      </c>
      <c r="F49">
        <v>1950</v>
      </c>
      <c r="G49">
        <v>295</v>
      </c>
      <c r="H49">
        <v>478</v>
      </c>
      <c r="I49">
        <v>37050</v>
      </c>
      <c r="J49">
        <v>36272</v>
      </c>
      <c r="K49">
        <v>119</v>
      </c>
      <c r="L49" t="s">
        <v>146</v>
      </c>
      <c r="M49" t="s">
        <v>55</v>
      </c>
      <c r="N49" s="14">
        <v>7.349527665317139E-2</v>
      </c>
      <c r="O49" s="11">
        <v>45725</v>
      </c>
      <c r="P4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50" spans="1:16" x14ac:dyDescent="0.3">
      <c r="A50" t="s">
        <v>147</v>
      </c>
      <c r="B50" t="s">
        <v>14</v>
      </c>
      <c r="C50" s="11">
        <v>45453</v>
      </c>
      <c r="D50" t="s">
        <v>33</v>
      </c>
      <c r="E50" t="s">
        <v>34</v>
      </c>
      <c r="F50">
        <v>2164</v>
      </c>
      <c r="G50">
        <v>549</v>
      </c>
      <c r="H50">
        <v>274</v>
      </c>
      <c r="I50">
        <v>28132</v>
      </c>
      <c r="J50">
        <v>27361</v>
      </c>
      <c r="K50">
        <v>177</v>
      </c>
      <c r="L50" t="s">
        <v>58</v>
      </c>
      <c r="M50" t="s">
        <v>19</v>
      </c>
      <c r="N50" s="14">
        <v>0.10617801791554102</v>
      </c>
      <c r="O50" s="11">
        <v>45452</v>
      </c>
      <c r="P5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51" spans="1:16" x14ac:dyDescent="0.3">
      <c r="A51" t="s">
        <v>149</v>
      </c>
      <c r="B51" t="s">
        <v>576</v>
      </c>
      <c r="C51" s="11">
        <v>45476</v>
      </c>
      <c r="D51" t="s">
        <v>33</v>
      </c>
      <c r="E51" t="s">
        <v>34</v>
      </c>
      <c r="F51">
        <v>2754</v>
      </c>
      <c r="G51">
        <v>130</v>
      </c>
      <c r="H51">
        <v>90</v>
      </c>
      <c r="I51">
        <v>22032</v>
      </c>
      <c r="J51">
        <v>21288</v>
      </c>
      <c r="K51">
        <v>112</v>
      </c>
      <c r="L51" t="s">
        <v>24</v>
      </c>
      <c r="M51" t="s">
        <v>19</v>
      </c>
      <c r="N51" s="14">
        <v>0.13498547567175018</v>
      </c>
      <c r="O51" s="11">
        <v>45473</v>
      </c>
      <c r="P5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52" spans="1:16" x14ac:dyDescent="0.3">
      <c r="A52" t="s">
        <v>151</v>
      </c>
      <c r="B52" t="s">
        <v>40</v>
      </c>
      <c r="C52" s="11">
        <v>45456</v>
      </c>
      <c r="D52" t="s">
        <v>42</v>
      </c>
      <c r="E52" t="s">
        <v>43</v>
      </c>
      <c r="F52">
        <v>2200</v>
      </c>
      <c r="G52">
        <v>504</v>
      </c>
      <c r="H52">
        <v>239</v>
      </c>
      <c r="I52">
        <v>37400</v>
      </c>
      <c r="J52">
        <v>36938</v>
      </c>
      <c r="K52">
        <v>225</v>
      </c>
      <c r="L52" t="s">
        <v>18</v>
      </c>
      <c r="M52" t="s">
        <v>38</v>
      </c>
      <c r="N52" s="14">
        <v>7.8689839572192513E-2</v>
      </c>
      <c r="O52" s="11">
        <v>45452</v>
      </c>
      <c r="P5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53" spans="1:16" x14ac:dyDescent="0.3">
      <c r="A53" t="s">
        <v>153</v>
      </c>
      <c r="B53" t="s">
        <v>40</v>
      </c>
      <c r="C53" s="11">
        <v>45660</v>
      </c>
      <c r="D53" t="s">
        <v>49</v>
      </c>
      <c r="E53" t="s">
        <v>50</v>
      </c>
      <c r="F53">
        <v>947</v>
      </c>
      <c r="G53">
        <v>338</v>
      </c>
      <c r="H53">
        <v>350</v>
      </c>
      <c r="I53">
        <v>10417</v>
      </c>
      <c r="J53">
        <v>9730</v>
      </c>
      <c r="K53">
        <v>34</v>
      </c>
      <c r="L53" t="s">
        <v>29</v>
      </c>
      <c r="M53" t="s">
        <v>38</v>
      </c>
      <c r="N53" s="14">
        <v>0.1569549774407219</v>
      </c>
      <c r="O53" s="11">
        <v>45655</v>
      </c>
      <c r="P5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54" spans="1:16" x14ac:dyDescent="0.3">
      <c r="A54" t="s">
        <v>155</v>
      </c>
      <c r="B54" t="s">
        <v>576</v>
      </c>
      <c r="C54" s="11">
        <v>45712</v>
      </c>
      <c r="D54" t="s">
        <v>42</v>
      </c>
      <c r="E54" t="s">
        <v>43</v>
      </c>
      <c r="F54">
        <v>804</v>
      </c>
      <c r="G54">
        <v>639</v>
      </c>
      <c r="H54">
        <v>43</v>
      </c>
      <c r="I54">
        <v>4020</v>
      </c>
      <c r="J54">
        <v>3144</v>
      </c>
      <c r="K54">
        <v>11</v>
      </c>
      <c r="L54" t="s">
        <v>87</v>
      </c>
      <c r="M54" t="s">
        <v>55</v>
      </c>
      <c r="N54" s="14">
        <v>0.36965174129353234</v>
      </c>
      <c r="O54" s="11">
        <v>45711</v>
      </c>
      <c r="P5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55" spans="1:16" x14ac:dyDescent="0.3">
      <c r="A55" t="s">
        <v>156</v>
      </c>
      <c r="B55" t="s">
        <v>576</v>
      </c>
      <c r="C55" s="11">
        <v>45729</v>
      </c>
      <c r="D55" t="s">
        <v>42</v>
      </c>
      <c r="E55" t="s">
        <v>43</v>
      </c>
      <c r="F55">
        <v>1686</v>
      </c>
      <c r="G55">
        <v>904</v>
      </c>
      <c r="H55">
        <v>472</v>
      </c>
      <c r="I55">
        <v>18546</v>
      </c>
      <c r="J55">
        <v>18171</v>
      </c>
      <c r="K55">
        <v>52</v>
      </c>
      <c r="L55" t="s">
        <v>71</v>
      </c>
      <c r="M55" t="s">
        <v>25</v>
      </c>
      <c r="N55" s="14">
        <v>0.16510298716704411</v>
      </c>
      <c r="O55" s="11">
        <v>45725</v>
      </c>
      <c r="P5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56" spans="1:16" x14ac:dyDescent="0.3">
      <c r="A56" t="s">
        <v>158</v>
      </c>
      <c r="B56" t="s">
        <v>40</v>
      </c>
      <c r="C56" s="11">
        <v>45460</v>
      </c>
      <c r="D56" t="s">
        <v>49</v>
      </c>
      <c r="E56" t="s">
        <v>50</v>
      </c>
      <c r="F56">
        <v>1226</v>
      </c>
      <c r="G56">
        <v>119</v>
      </c>
      <c r="H56">
        <v>7</v>
      </c>
      <c r="I56">
        <v>14712</v>
      </c>
      <c r="J56">
        <v>14049</v>
      </c>
      <c r="K56">
        <v>123</v>
      </c>
      <c r="L56" t="s">
        <v>102</v>
      </c>
      <c r="M56" t="s">
        <v>55</v>
      </c>
      <c r="N56" s="14">
        <v>9.1897770527460579E-2</v>
      </c>
      <c r="O56" s="11">
        <v>45459</v>
      </c>
      <c r="P5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57" spans="1:16" x14ac:dyDescent="0.3">
      <c r="A57" t="s">
        <v>160</v>
      </c>
      <c r="B57" t="s">
        <v>40</v>
      </c>
      <c r="C57" s="11">
        <v>45644</v>
      </c>
      <c r="D57" t="s">
        <v>42</v>
      </c>
      <c r="E57" t="s">
        <v>43</v>
      </c>
      <c r="F57">
        <v>2946</v>
      </c>
      <c r="G57">
        <v>498</v>
      </c>
      <c r="H57">
        <v>367</v>
      </c>
      <c r="I57">
        <v>29460</v>
      </c>
      <c r="J57">
        <v>28527</v>
      </c>
      <c r="K57">
        <v>60</v>
      </c>
      <c r="L57" t="s">
        <v>162</v>
      </c>
      <c r="M57" t="s">
        <v>25</v>
      </c>
      <c r="N57" s="14">
        <v>0.12936184657162253</v>
      </c>
      <c r="O57" s="11">
        <v>45641</v>
      </c>
      <c r="P5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58" spans="1:16" x14ac:dyDescent="0.3">
      <c r="A58" t="s">
        <v>163</v>
      </c>
      <c r="B58" t="s">
        <v>14</v>
      </c>
      <c r="C58" s="11">
        <v>45586</v>
      </c>
      <c r="D58" t="s">
        <v>69</v>
      </c>
      <c r="E58" t="s">
        <v>70</v>
      </c>
      <c r="F58">
        <v>2825</v>
      </c>
      <c r="G58">
        <v>535</v>
      </c>
      <c r="H58">
        <v>295</v>
      </c>
      <c r="I58">
        <v>45200</v>
      </c>
      <c r="J58">
        <v>44739</v>
      </c>
      <c r="K58">
        <v>169</v>
      </c>
      <c r="L58" t="s">
        <v>58</v>
      </c>
      <c r="M58" t="s">
        <v>25</v>
      </c>
      <c r="N58" s="14">
        <v>8.0862831858407078E-2</v>
      </c>
      <c r="O58" s="11">
        <v>45585</v>
      </c>
      <c r="P5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59" spans="1:16" x14ac:dyDescent="0.3">
      <c r="A59" t="s">
        <v>165</v>
      </c>
      <c r="B59" t="s">
        <v>31</v>
      </c>
      <c r="C59" s="11">
        <v>45762</v>
      </c>
      <c r="D59" t="s">
        <v>16</v>
      </c>
      <c r="E59" t="s">
        <v>17</v>
      </c>
      <c r="F59">
        <v>103</v>
      </c>
      <c r="G59">
        <v>770</v>
      </c>
      <c r="H59">
        <v>19</v>
      </c>
      <c r="I59">
        <v>1030</v>
      </c>
      <c r="J59">
        <v>410</v>
      </c>
      <c r="K59">
        <v>262</v>
      </c>
      <c r="L59" t="s">
        <v>18</v>
      </c>
      <c r="M59" t="s">
        <v>38</v>
      </c>
      <c r="N59" s="14">
        <v>0.86601941747572819</v>
      </c>
      <c r="O59" s="11">
        <v>45760</v>
      </c>
      <c r="P5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60" spans="1:16" x14ac:dyDescent="0.3">
      <c r="A60" t="s">
        <v>167</v>
      </c>
      <c r="B60" t="s">
        <v>31</v>
      </c>
      <c r="C60" s="11">
        <v>45465</v>
      </c>
      <c r="D60" t="s">
        <v>22</v>
      </c>
      <c r="E60" t="s">
        <v>23</v>
      </c>
      <c r="F60">
        <v>2180</v>
      </c>
      <c r="G60">
        <v>263</v>
      </c>
      <c r="H60">
        <v>387</v>
      </c>
      <c r="I60">
        <v>30520</v>
      </c>
      <c r="J60">
        <v>30059</v>
      </c>
      <c r="K60">
        <v>174</v>
      </c>
      <c r="L60" t="s">
        <v>77</v>
      </c>
      <c r="M60" t="s">
        <v>19</v>
      </c>
      <c r="N60" s="14">
        <v>9.2726081258191345E-2</v>
      </c>
      <c r="O60" s="11">
        <v>45459</v>
      </c>
      <c r="P6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61" spans="1:16" x14ac:dyDescent="0.3">
      <c r="A61" t="s">
        <v>169</v>
      </c>
      <c r="B61" t="s">
        <v>31</v>
      </c>
      <c r="C61" s="11">
        <v>45685</v>
      </c>
      <c r="D61" t="s">
        <v>69</v>
      </c>
      <c r="E61" t="s">
        <v>70</v>
      </c>
      <c r="F61">
        <v>904</v>
      </c>
      <c r="G61">
        <v>973</v>
      </c>
      <c r="H61">
        <v>63</v>
      </c>
      <c r="I61">
        <v>11752</v>
      </c>
      <c r="J61">
        <v>11580</v>
      </c>
      <c r="K61">
        <v>84</v>
      </c>
      <c r="L61" t="s">
        <v>58</v>
      </c>
      <c r="M61" t="s">
        <v>19</v>
      </c>
      <c r="N61" s="14">
        <v>0.1650782845473111</v>
      </c>
      <c r="O61" s="11">
        <v>45683</v>
      </c>
      <c r="P6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62" spans="1:16" x14ac:dyDescent="0.3">
      <c r="A62" t="s">
        <v>171</v>
      </c>
      <c r="B62" t="s">
        <v>14</v>
      </c>
      <c r="C62" s="11">
        <v>45540</v>
      </c>
      <c r="D62" t="s">
        <v>69</v>
      </c>
      <c r="E62" t="s">
        <v>70</v>
      </c>
      <c r="F62">
        <v>4886</v>
      </c>
      <c r="G62">
        <v>983</v>
      </c>
      <c r="H62">
        <v>409</v>
      </c>
      <c r="I62">
        <v>43974</v>
      </c>
      <c r="J62">
        <v>43239</v>
      </c>
      <c r="K62">
        <v>65</v>
      </c>
      <c r="L62" t="s">
        <v>24</v>
      </c>
      <c r="M62" t="s">
        <v>19</v>
      </c>
      <c r="N62" s="14">
        <v>0.14276618001546368</v>
      </c>
      <c r="O62" s="11">
        <v>45536</v>
      </c>
      <c r="P6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63" spans="1:16" x14ac:dyDescent="0.3">
      <c r="A63" t="s">
        <v>173</v>
      </c>
      <c r="B63" t="s">
        <v>14</v>
      </c>
      <c r="C63" s="11">
        <v>45618</v>
      </c>
      <c r="D63" t="s">
        <v>42</v>
      </c>
      <c r="E63" t="s">
        <v>43</v>
      </c>
      <c r="F63">
        <v>53</v>
      </c>
      <c r="G63">
        <v>81</v>
      </c>
      <c r="H63">
        <v>379</v>
      </c>
      <c r="I63">
        <v>954</v>
      </c>
      <c r="J63">
        <v>7</v>
      </c>
      <c r="K63">
        <v>148</v>
      </c>
      <c r="L63" t="s">
        <v>77</v>
      </c>
      <c r="M63" t="s">
        <v>38</v>
      </c>
      <c r="N63" s="14">
        <v>0.53773584905660377</v>
      </c>
      <c r="O63" s="11">
        <v>45613</v>
      </c>
      <c r="P6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64" spans="1:16" x14ac:dyDescent="0.3">
      <c r="A64" t="s">
        <v>175</v>
      </c>
      <c r="B64" t="s">
        <v>14</v>
      </c>
      <c r="C64" s="11">
        <v>45504</v>
      </c>
      <c r="D64" t="s">
        <v>42</v>
      </c>
      <c r="E64" t="s">
        <v>43</v>
      </c>
      <c r="F64">
        <v>4507</v>
      </c>
      <c r="G64">
        <v>217</v>
      </c>
      <c r="H64">
        <v>13</v>
      </c>
      <c r="I64">
        <v>90140</v>
      </c>
      <c r="J64">
        <v>89591</v>
      </c>
      <c r="K64">
        <v>125</v>
      </c>
      <c r="L64" t="s">
        <v>18</v>
      </c>
      <c r="M64" t="s">
        <v>19</v>
      </c>
      <c r="N64" s="14">
        <v>5.2551586421122697E-2</v>
      </c>
      <c r="O64" s="11">
        <v>45501</v>
      </c>
      <c r="P6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65" spans="1:16" x14ac:dyDescent="0.3">
      <c r="A65" t="s">
        <v>176</v>
      </c>
      <c r="B65" t="s">
        <v>40</v>
      </c>
      <c r="C65" s="11">
        <v>45521</v>
      </c>
      <c r="D65" t="s">
        <v>49</v>
      </c>
      <c r="E65" t="s">
        <v>50</v>
      </c>
      <c r="F65">
        <v>2878</v>
      </c>
      <c r="G65">
        <v>248</v>
      </c>
      <c r="H65">
        <v>416</v>
      </c>
      <c r="I65">
        <v>43170</v>
      </c>
      <c r="J65">
        <v>42667</v>
      </c>
      <c r="K65">
        <v>75</v>
      </c>
      <c r="L65" t="s">
        <v>178</v>
      </c>
      <c r="M65" t="s">
        <v>25</v>
      </c>
      <c r="N65" s="14">
        <v>8.2047718322909427E-2</v>
      </c>
      <c r="O65" s="11">
        <v>45515</v>
      </c>
      <c r="P6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66" spans="1:16" x14ac:dyDescent="0.3">
      <c r="A66" t="s">
        <v>179</v>
      </c>
      <c r="B66" t="s">
        <v>31</v>
      </c>
      <c r="C66" s="11">
        <v>45744</v>
      </c>
      <c r="D66" t="s">
        <v>33</v>
      </c>
      <c r="E66" t="s">
        <v>34</v>
      </c>
      <c r="F66">
        <v>1881</v>
      </c>
      <c r="G66">
        <v>501</v>
      </c>
      <c r="H66">
        <v>99</v>
      </c>
      <c r="I66">
        <v>20691</v>
      </c>
      <c r="J66">
        <v>19987</v>
      </c>
      <c r="K66">
        <v>289</v>
      </c>
      <c r="L66" t="s">
        <v>77</v>
      </c>
      <c r="M66" t="s">
        <v>25</v>
      </c>
      <c r="N66" s="14">
        <v>0.11990720603160794</v>
      </c>
      <c r="O66" s="11">
        <v>45739</v>
      </c>
      <c r="P6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67" spans="1:16" x14ac:dyDescent="0.3">
      <c r="A67" t="s">
        <v>181</v>
      </c>
      <c r="B67" t="s">
        <v>14</v>
      </c>
      <c r="C67" s="11">
        <v>45499</v>
      </c>
      <c r="D67" t="s">
        <v>42</v>
      </c>
      <c r="E67" t="s">
        <v>43</v>
      </c>
      <c r="F67">
        <v>432</v>
      </c>
      <c r="G67">
        <v>171</v>
      </c>
      <c r="H67">
        <v>280</v>
      </c>
      <c r="I67">
        <v>3024</v>
      </c>
      <c r="J67">
        <v>2285</v>
      </c>
      <c r="K67">
        <v>184</v>
      </c>
      <c r="L67" t="s">
        <v>24</v>
      </c>
      <c r="M67" t="s">
        <v>38</v>
      </c>
      <c r="N67" s="14">
        <v>0.29199735449735448</v>
      </c>
      <c r="O67" s="11">
        <v>45494</v>
      </c>
      <c r="P6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68" spans="1:16" x14ac:dyDescent="0.3">
      <c r="A68" t="s">
        <v>183</v>
      </c>
      <c r="B68" t="s">
        <v>40</v>
      </c>
      <c r="C68" s="11">
        <v>45745</v>
      </c>
      <c r="D68" t="s">
        <v>42</v>
      </c>
      <c r="E68" t="s">
        <v>43</v>
      </c>
      <c r="F68">
        <v>4712</v>
      </c>
      <c r="G68">
        <v>568</v>
      </c>
      <c r="H68">
        <v>127</v>
      </c>
      <c r="I68">
        <v>84816</v>
      </c>
      <c r="J68">
        <v>84691</v>
      </c>
      <c r="K68">
        <v>100</v>
      </c>
      <c r="L68" t="s">
        <v>77</v>
      </c>
      <c r="M68" t="s">
        <v>19</v>
      </c>
      <c r="N68" s="14">
        <v>6.3749764195434822E-2</v>
      </c>
      <c r="O68" s="11">
        <v>45739</v>
      </c>
      <c r="P6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69" spans="1:16" x14ac:dyDescent="0.3">
      <c r="A69" t="s">
        <v>185</v>
      </c>
      <c r="B69" t="s">
        <v>31</v>
      </c>
      <c r="C69" s="11">
        <v>45634</v>
      </c>
      <c r="D69" t="s">
        <v>33</v>
      </c>
      <c r="E69" t="s">
        <v>34</v>
      </c>
      <c r="F69">
        <v>2610</v>
      </c>
      <c r="G69">
        <v>126</v>
      </c>
      <c r="H69">
        <v>288</v>
      </c>
      <c r="I69">
        <v>15660</v>
      </c>
      <c r="J69">
        <v>15145</v>
      </c>
      <c r="K69">
        <v>73</v>
      </c>
      <c r="L69" t="s">
        <v>24</v>
      </c>
      <c r="M69" t="s">
        <v>19</v>
      </c>
      <c r="N69" s="14">
        <v>0.19310344827586207</v>
      </c>
      <c r="O69" s="11">
        <v>45634</v>
      </c>
      <c r="P6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70" spans="1:16" x14ac:dyDescent="0.3">
      <c r="A70" t="s">
        <v>187</v>
      </c>
      <c r="B70" t="s">
        <v>14</v>
      </c>
      <c r="C70" s="11">
        <v>45724</v>
      </c>
      <c r="D70" t="s">
        <v>22</v>
      </c>
      <c r="E70" t="s">
        <v>23</v>
      </c>
      <c r="F70">
        <v>1292</v>
      </c>
      <c r="G70">
        <v>626</v>
      </c>
      <c r="H70">
        <v>496</v>
      </c>
      <c r="I70">
        <v>25840</v>
      </c>
      <c r="J70">
        <v>24916</v>
      </c>
      <c r="K70">
        <v>149</v>
      </c>
      <c r="L70" t="s">
        <v>87</v>
      </c>
      <c r="M70" t="s">
        <v>55</v>
      </c>
      <c r="N70" s="14">
        <v>9.3421052631578946E-2</v>
      </c>
      <c r="O70" s="11">
        <v>45718</v>
      </c>
      <c r="P7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71" spans="1:16" x14ac:dyDescent="0.3">
      <c r="A71" t="s">
        <v>188</v>
      </c>
      <c r="B71" t="s">
        <v>40</v>
      </c>
      <c r="C71" s="11">
        <v>45749</v>
      </c>
      <c r="D71" t="s">
        <v>69</v>
      </c>
      <c r="E71" t="s">
        <v>70</v>
      </c>
      <c r="F71">
        <v>199</v>
      </c>
      <c r="G71">
        <v>772</v>
      </c>
      <c r="H71">
        <v>400</v>
      </c>
      <c r="I71">
        <v>3582</v>
      </c>
      <c r="J71">
        <v>2988</v>
      </c>
      <c r="K71">
        <v>43</v>
      </c>
      <c r="L71" t="s">
        <v>44</v>
      </c>
      <c r="M71" t="s">
        <v>19</v>
      </c>
      <c r="N71" s="14">
        <v>0.38274706867671693</v>
      </c>
      <c r="O71" s="11">
        <v>45746</v>
      </c>
      <c r="P7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72" spans="1:16" x14ac:dyDescent="0.3">
      <c r="A72" t="s">
        <v>190</v>
      </c>
      <c r="B72" t="s">
        <v>576</v>
      </c>
      <c r="C72" s="11">
        <v>45537</v>
      </c>
      <c r="D72" t="s">
        <v>42</v>
      </c>
      <c r="E72" t="s">
        <v>43</v>
      </c>
      <c r="F72">
        <v>2551</v>
      </c>
      <c r="G72">
        <v>915</v>
      </c>
      <c r="H72">
        <v>205</v>
      </c>
      <c r="I72">
        <v>30612</v>
      </c>
      <c r="J72">
        <v>30360</v>
      </c>
      <c r="K72">
        <v>227</v>
      </c>
      <c r="L72" t="s">
        <v>74</v>
      </c>
      <c r="M72" t="s">
        <v>25</v>
      </c>
      <c r="N72" s="14">
        <v>0.1199202926956749</v>
      </c>
      <c r="O72" s="11">
        <v>45536</v>
      </c>
      <c r="P7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73" spans="1:16" x14ac:dyDescent="0.3">
      <c r="A73" t="s">
        <v>192</v>
      </c>
      <c r="B73" t="s">
        <v>576</v>
      </c>
      <c r="C73" s="11">
        <v>45719</v>
      </c>
      <c r="D73" t="s">
        <v>16</v>
      </c>
      <c r="E73" t="s">
        <v>17</v>
      </c>
      <c r="F73">
        <v>296</v>
      </c>
      <c r="G73">
        <v>60</v>
      </c>
      <c r="H73">
        <v>141</v>
      </c>
      <c r="I73">
        <v>5624</v>
      </c>
      <c r="J73">
        <v>5239</v>
      </c>
      <c r="K73">
        <v>88</v>
      </c>
      <c r="L73" t="s">
        <v>44</v>
      </c>
      <c r="M73" t="s">
        <v>55</v>
      </c>
      <c r="N73" s="14">
        <v>8.837126600284495E-2</v>
      </c>
      <c r="O73" s="11">
        <v>45718</v>
      </c>
      <c r="P7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74" spans="1:16" x14ac:dyDescent="0.3">
      <c r="A74" t="s">
        <v>194</v>
      </c>
      <c r="B74" t="s">
        <v>40</v>
      </c>
      <c r="C74" s="11">
        <v>45583</v>
      </c>
      <c r="D74" t="s">
        <v>33</v>
      </c>
      <c r="E74" t="s">
        <v>34</v>
      </c>
      <c r="F74">
        <v>4126</v>
      </c>
      <c r="G74">
        <v>426</v>
      </c>
      <c r="H74">
        <v>486</v>
      </c>
      <c r="I74">
        <v>78394</v>
      </c>
      <c r="J74">
        <v>77798</v>
      </c>
      <c r="K74">
        <v>88</v>
      </c>
      <c r="L74" t="s">
        <v>24</v>
      </c>
      <c r="M74" t="s">
        <v>19</v>
      </c>
      <c r="N74" s="14">
        <v>6.4265122330790625E-2</v>
      </c>
      <c r="O74" s="11">
        <v>45578</v>
      </c>
      <c r="P7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75" spans="1:16" x14ac:dyDescent="0.3">
      <c r="A75" t="s">
        <v>196</v>
      </c>
      <c r="B75" t="s">
        <v>576</v>
      </c>
      <c r="C75" s="11">
        <v>45593</v>
      </c>
      <c r="D75" t="s">
        <v>16</v>
      </c>
      <c r="E75" t="s">
        <v>17</v>
      </c>
      <c r="F75">
        <v>1855</v>
      </c>
      <c r="G75">
        <v>200</v>
      </c>
      <c r="H75">
        <v>174</v>
      </c>
      <c r="I75">
        <v>16695</v>
      </c>
      <c r="J75">
        <v>16330</v>
      </c>
      <c r="K75">
        <v>123</v>
      </c>
      <c r="L75" t="s">
        <v>24</v>
      </c>
      <c r="M75" t="s">
        <v>38</v>
      </c>
      <c r="N75" s="14">
        <v>0.13351302785265048</v>
      </c>
      <c r="O75" s="11">
        <v>45592</v>
      </c>
      <c r="P7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76" spans="1:16" x14ac:dyDescent="0.3">
      <c r="A76" t="s">
        <v>198</v>
      </c>
      <c r="B76" t="s">
        <v>31</v>
      </c>
      <c r="C76" s="11">
        <v>45505</v>
      </c>
      <c r="D76" t="s">
        <v>16</v>
      </c>
      <c r="E76" t="s">
        <v>17</v>
      </c>
      <c r="F76">
        <v>1674</v>
      </c>
      <c r="G76">
        <v>929</v>
      </c>
      <c r="H76">
        <v>37</v>
      </c>
      <c r="I76">
        <v>21762</v>
      </c>
      <c r="J76">
        <v>20998</v>
      </c>
      <c r="K76">
        <v>255</v>
      </c>
      <c r="L76" t="s">
        <v>162</v>
      </c>
      <c r="M76" t="s">
        <v>38</v>
      </c>
      <c r="N76" s="14">
        <v>0.12131237937689551</v>
      </c>
      <c r="O76" s="11">
        <v>45501</v>
      </c>
      <c r="P7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77" spans="1:16" x14ac:dyDescent="0.3">
      <c r="A77" t="s">
        <v>200</v>
      </c>
      <c r="B77" t="s">
        <v>14</v>
      </c>
      <c r="C77" s="11">
        <v>45603</v>
      </c>
      <c r="D77" t="s">
        <v>33</v>
      </c>
      <c r="E77" t="s">
        <v>34</v>
      </c>
      <c r="F77">
        <v>1121</v>
      </c>
      <c r="G77">
        <v>135</v>
      </c>
      <c r="H77">
        <v>18</v>
      </c>
      <c r="I77">
        <v>15694</v>
      </c>
      <c r="J77">
        <v>14957</v>
      </c>
      <c r="K77">
        <v>99</v>
      </c>
      <c r="L77" t="s">
        <v>66</v>
      </c>
      <c r="M77" t="s">
        <v>55</v>
      </c>
      <c r="N77" s="14">
        <v>8.1177520071364848E-2</v>
      </c>
      <c r="O77" s="11">
        <v>45599</v>
      </c>
      <c r="P7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78" spans="1:16" x14ac:dyDescent="0.3">
      <c r="A78" t="s">
        <v>202</v>
      </c>
      <c r="B78" t="s">
        <v>40</v>
      </c>
      <c r="C78" s="11">
        <v>45720</v>
      </c>
      <c r="D78" t="s">
        <v>33</v>
      </c>
      <c r="E78" t="s">
        <v>34</v>
      </c>
      <c r="F78">
        <v>1249</v>
      </c>
      <c r="G78">
        <v>116</v>
      </c>
      <c r="H78">
        <v>420</v>
      </c>
      <c r="I78">
        <v>8743</v>
      </c>
      <c r="J78">
        <v>8538</v>
      </c>
      <c r="K78">
        <v>63</v>
      </c>
      <c r="L78" t="s">
        <v>71</v>
      </c>
      <c r="M78" t="s">
        <v>38</v>
      </c>
      <c r="N78" s="14">
        <v>0.20416333066453163</v>
      </c>
      <c r="O78" s="11">
        <v>45718</v>
      </c>
      <c r="P7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79" spans="1:16" x14ac:dyDescent="0.3">
      <c r="A79" t="s">
        <v>203</v>
      </c>
      <c r="B79" t="s">
        <v>14</v>
      </c>
      <c r="C79" s="11">
        <v>45460</v>
      </c>
      <c r="D79" t="s">
        <v>49</v>
      </c>
      <c r="E79" t="s">
        <v>50</v>
      </c>
      <c r="F79">
        <v>954</v>
      </c>
      <c r="G79">
        <v>324</v>
      </c>
      <c r="H79">
        <v>288</v>
      </c>
      <c r="I79">
        <v>19080</v>
      </c>
      <c r="J79">
        <v>18859</v>
      </c>
      <c r="K79">
        <v>21</v>
      </c>
      <c r="L79" t="s">
        <v>44</v>
      </c>
      <c r="M79" t="s">
        <v>38</v>
      </c>
      <c r="N79" s="14">
        <v>8.2075471698113203E-2</v>
      </c>
      <c r="O79" s="11">
        <v>45459</v>
      </c>
      <c r="P7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80" spans="1:16" x14ac:dyDescent="0.3">
      <c r="A80" t="s">
        <v>204</v>
      </c>
      <c r="B80" t="s">
        <v>31</v>
      </c>
      <c r="C80" s="11">
        <v>45574</v>
      </c>
      <c r="D80" t="s">
        <v>42</v>
      </c>
      <c r="E80" t="s">
        <v>43</v>
      </c>
      <c r="F80">
        <v>3068</v>
      </c>
      <c r="G80">
        <v>137</v>
      </c>
      <c r="H80">
        <v>329</v>
      </c>
      <c r="I80">
        <v>39884</v>
      </c>
      <c r="J80">
        <v>39404</v>
      </c>
      <c r="K80">
        <v>266</v>
      </c>
      <c r="L80" t="s">
        <v>102</v>
      </c>
      <c r="M80" t="s">
        <v>38</v>
      </c>
      <c r="N80" s="14">
        <v>8.860696018453515E-2</v>
      </c>
      <c r="O80" s="11">
        <v>45571</v>
      </c>
      <c r="P8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81" spans="1:16" x14ac:dyDescent="0.3">
      <c r="A81" t="s">
        <v>206</v>
      </c>
      <c r="B81" t="s">
        <v>31</v>
      </c>
      <c r="C81" s="11">
        <v>45456</v>
      </c>
      <c r="D81" t="s">
        <v>33</v>
      </c>
      <c r="E81" t="s">
        <v>34</v>
      </c>
      <c r="F81">
        <v>2103</v>
      </c>
      <c r="G81">
        <v>892</v>
      </c>
      <c r="H81">
        <v>103</v>
      </c>
      <c r="I81">
        <v>39957</v>
      </c>
      <c r="J81">
        <v>39466</v>
      </c>
      <c r="K81">
        <v>28</v>
      </c>
      <c r="L81" t="s">
        <v>144</v>
      </c>
      <c r="M81" t="s">
        <v>25</v>
      </c>
      <c r="N81" s="14">
        <v>7.7533348349475686E-2</v>
      </c>
      <c r="O81" s="11">
        <v>45452</v>
      </c>
      <c r="P8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82" spans="1:16" x14ac:dyDescent="0.3">
      <c r="A82" t="s">
        <v>207</v>
      </c>
      <c r="B82" t="s">
        <v>31</v>
      </c>
      <c r="C82" s="11">
        <v>45584</v>
      </c>
      <c r="D82" t="s">
        <v>33</v>
      </c>
      <c r="E82" t="s">
        <v>34</v>
      </c>
      <c r="F82">
        <v>1816</v>
      </c>
      <c r="G82">
        <v>29</v>
      </c>
      <c r="H82">
        <v>41</v>
      </c>
      <c r="I82">
        <v>19976</v>
      </c>
      <c r="J82">
        <v>19262</v>
      </c>
      <c r="K82">
        <v>283</v>
      </c>
      <c r="L82" t="s">
        <v>209</v>
      </c>
      <c r="M82" t="s">
        <v>38</v>
      </c>
      <c r="N82" s="14">
        <v>9.4413295955146179E-2</v>
      </c>
      <c r="O82" s="11">
        <v>45578</v>
      </c>
      <c r="P8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83" spans="1:16" x14ac:dyDescent="0.3">
      <c r="A83" t="s">
        <v>210</v>
      </c>
      <c r="B83" t="s">
        <v>31</v>
      </c>
      <c r="C83" s="11">
        <v>45497</v>
      </c>
      <c r="D83" t="s">
        <v>49</v>
      </c>
      <c r="E83" t="s">
        <v>50</v>
      </c>
      <c r="F83">
        <v>725</v>
      </c>
      <c r="G83">
        <v>88</v>
      </c>
      <c r="H83">
        <v>428</v>
      </c>
      <c r="I83">
        <v>14500</v>
      </c>
      <c r="J83">
        <v>13637</v>
      </c>
      <c r="K83">
        <v>200</v>
      </c>
      <c r="L83" t="s">
        <v>44</v>
      </c>
      <c r="M83" t="s">
        <v>38</v>
      </c>
      <c r="N83" s="14">
        <v>8.558620689655172E-2</v>
      </c>
      <c r="O83" s="11">
        <v>45494</v>
      </c>
      <c r="P8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84" spans="1:16" x14ac:dyDescent="0.3">
      <c r="A84" t="s">
        <v>212</v>
      </c>
      <c r="B84" t="s">
        <v>576</v>
      </c>
      <c r="C84" s="11">
        <v>45580</v>
      </c>
      <c r="D84" t="s">
        <v>69</v>
      </c>
      <c r="E84" t="s">
        <v>70</v>
      </c>
      <c r="F84">
        <v>1094</v>
      </c>
      <c r="G84">
        <v>472</v>
      </c>
      <c r="H84">
        <v>21</v>
      </c>
      <c r="I84">
        <v>9846</v>
      </c>
      <c r="J84">
        <v>9609</v>
      </c>
      <c r="K84">
        <v>112</v>
      </c>
      <c r="L84" t="s">
        <v>214</v>
      </c>
      <c r="M84" t="s">
        <v>38</v>
      </c>
      <c r="N84" s="14">
        <v>0.16118220597196831</v>
      </c>
      <c r="O84" s="11">
        <v>45578</v>
      </c>
      <c r="P8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85" spans="1:16" x14ac:dyDescent="0.3">
      <c r="A85" t="s">
        <v>215</v>
      </c>
      <c r="B85" t="s">
        <v>40</v>
      </c>
      <c r="C85" s="11">
        <v>45635</v>
      </c>
      <c r="D85" t="s">
        <v>49</v>
      </c>
      <c r="E85" t="s">
        <v>50</v>
      </c>
      <c r="F85">
        <v>1841</v>
      </c>
      <c r="G85">
        <v>851</v>
      </c>
      <c r="H85">
        <v>342</v>
      </c>
      <c r="I85">
        <v>34979</v>
      </c>
      <c r="J85">
        <v>34154</v>
      </c>
      <c r="K85">
        <v>255</v>
      </c>
      <c r="L85" t="s">
        <v>71</v>
      </c>
      <c r="M85" t="s">
        <v>19</v>
      </c>
      <c r="N85" s="14">
        <v>8.6737756939878216E-2</v>
      </c>
      <c r="O85" s="11">
        <v>45634</v>
      </c>
      <c r="P8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86" spans="1:16" x14ac:dyDescent="0.3">
      <c r="A86" t="s">
        <v>217</v>
      </c>
      <c r="B86" t="s">
        <v>31</v>
      </c>
      <c r="C86" s="11">
        <v>45766</v>
      </c>
      <c r="D86" t="s">
        <v>49</v>
      </c>
      <c r="E86" t="s">
        <v>50</v>
      </c>
      <c r="F86">
        <v>4177</v>
      </c>
      <c r="G86">
        <v>569</v>
      </c>
      <c r="H86">
        <v>55</v>
      </c>
      <c r="I86">
        <v>25062</v>
      </c>
      <c r="J86">
        <v>24847</v>
      </c>
      <c r="K86">
        <v>230</v>
      </c>
      <c r="L86" t="s">
        <v>24</v>
      </c>
      <c r="M86" t="s">
        <v>19</v>
      </c>
      <c r="N86" s="14">
        <v>0.19156491900087783</v>
      </c>
      <c r="O86" s="11">
        <v>45760</v>
      </c>
      <c r="P8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87" spans="1:16" x14ac:dyDescent="0.3">
      <c r="A87" t="s">
        <v>218</v>
      </c>
      <c r="B87" t="s">
        <v>576</v>
      </c>
      <c r="C87" s="11">
        <v>45684</v>
      </c>
      <c r="D87" t="s">
        <v>22</v>
      </c>
      <c r="E87" t="s">
        <v>23</v>
      </c>
      <c r="F87">
        <v>3428</v>
      </c>
      <c r="G87">
        <v>305</v>
      </c>
      <c r="H87">
        <v>85</v>
      </c>
      <c r="I87">
        <v>58276</v>
      </c>
      <c r="J87">
        <v>58052</v>
      </c>
      <c r="K87">
        <v>242</v>
      </c>
      <c r="L87" t="s">
        <v>214</v>
      </c>
      <c r="M87" t="s">
        <v>38</v>
      </c>
      <c r="N87" s="14">
        <v>6.5515821264328367E-2</v>
      </c>
      <c r="O87" s="11">
        <v>45683</v>
      </c>
      <c r="P8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88" spans="1:16" x14ac:dyDescent="0.3">
      <c r="A88" t="s">
        <v>220</v>
      </c>
      <c r="B88" t="s">
        <v>14</v>
      </c>
      <c r="C88" s="11">
        <v>45449</v>
      </c>
      <c r="D88" t="s">
        <v>69</v>
      </c>
      <c r="E88" t="s">
        <v>70</v>
      </c>
      <c r="F88">
        <v>1436</v>
      </c>
      <c r="G88">
        <v>765</v>
      </c>
      <c r="H88">
        <v>496</v>
      </c>
      <c r="I88">
        <v>12924</v>
      </c>
      <c r="J88">
        <v>12701</v>
      </c>
      <c r="K88">
        <v>197</v>
      </c>
      <c r="L88" t="s">
        <v>209</v>
      </c>
      <c r="M88" t="s">
        <v>25</v>
      </c>
      <c r="N88" s="14">
        <v>0.20868152274837512</v>
      </c>
      <c r="O88" s="11">
        <v>45445</v>
      </c>
      <c r="P8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89" spans="1:16" x14ac:dyDescent="0.3">
      <c r="A89" t="s">
        <v>222</v>
      </c>
      <c r="B89" t="s">
        <v>40</v>
      </c>
      <c r="C89" s="11">
        <v>45480</v>
      </c>
      <c r="D89" t="s">
        <v>33</v>
      </c>
      <c r="E89" t="s">
        <v>34</v>
      </c>
      <c r="F89">
        <v>302</v>
      </c>
      <c r="G89">
        <v>47</v>
      </c>
      <c r="H89">
        <v>430</v>
      </c>
      <c r="I89">
        <v>5738</v>
      </c>
      <c r="J89">
        <v>4890</v>
      </c>
      <c r="K89">
        <v>25</v>
      </c>
      <c r="L89" t="s">
        <v>29</v>
      </c>
      <c r="M89" t="s">
        <v>25</v>
      </c>
      <c r="N89" s="14">
        <v>0.13576158940397351</v>
      </c>
      <c r="O89" s="11">
        <v>45480</v>
      </c>
      <c r="P8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90" spans="1:16" x14ac:dyDescent="0.3">
      <c r="A90" t="s">
        <v>224</v>
      </c>
      <c r="B90" t="s">
        <v>14</v>
      </c>
      <c r="C90" s="11">
        <v>45667</v>
      </c>
      <c r="D90" t="s">
        <v>49</v>
      </c>
      <c r="E90" t="s">
        <v>50</v>
      </c>
      <c r="F90">
        <v>2214</v>
      </c>
      <c r="G90">
        <v>249</v>
      </c>
      <c r="H90">
        <v>152</v>
      </c>
      <c r="I90">
        <v>15498</v>
      </c>
      <c r="J90">
        <v>14800</v>
      </c>
      <c r="K90">
        <v>180</v>
      </c>
      <c r="L90" t="s">
        <v>18</v>
      </c>
      <c r="M90" t="s">
        <v>25</v>
      </c>
      <c r="N90" s="14">
        <v>0.16873144921925409</v>
      </c>
      <c r="O90" s="11">
        <v>45662</v>
      </c>
      <c r="P9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91" spans="1:16" x14ac:dyDescent="0.3">
      <c r="A91" t="s">
        <v>226</v>
      </c>
      <c r="B91" t="s">
        <v>31</v>
      </c>
      <c r="C91" s="11">
        <v>45446</v>
      </c>
      <c r="D91" t="s">
        <v>49</v>
      </c>
      <c r="E91" t="s">
        <v>50</v>
      </c>
      <c r="F91">
        <v>3861</v>
      </c>
      <c r="G91">
        <v>960</v>
      </c>
      <c r="H91">
        <v>101</v>
      </c>
      <c r="I91">
        <v>69498</v>
      </c>
      <c r="J91">
        <v>68817</v>
      </c>
      <c r="K91">
        <v>297</v>
      </c>
      <c r="L91" t="s">
        <v>24</v>
      </c>
      <c r="M91" t="s">
        <v>25</v>
      </c>
      <c r="N91" s="14">
        <v>7.0822181933293038E-2</v>
      </c>
      <c r="O91" s="11">
        <v>45445</v>
      </c>
      <c r="P9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92" spans="1:16" x14ac:dyDescent="0.3">
      <c r="A92" t="s">
        <v>228</v>
      </c>
      <c r="B92" t="s">
        <v>40</v>
      </c>
      <c r="C92" s="11">
        <v>45740</v>
      </c>
      <c r="D92" t="s">
        <v>49</v>
      </c>
      <c r="E92" t="s">
        <v>50</v>
      </c>
      <c r="F92">
        <v>1263</v>
      </c>
      <c r="G92">
        <v>397</v>
      </c>
      <c r="H92">
        <v>357</v>
      </c>
      <c r="I92">
        <v>25260</v>
      </c>
      <c r="J92">
        <v>24615</v>
      </c>
      <c r="K92">
        <v>137</v>
      </c>
      <c r="L92" t="s">
        <v>18</v>
      </c>
      <c r="M92" t="s">
        <v>25</v>
      </c>
      <c r="N92" s="14">
        <v>7.984956452889945E-2</v>
      </c>
      <c r="O92" s="11">
        <v>45739</v>
      </c>
      <c r="P9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93" spans="1:16" x14ac:dyDescent="0.3">
      <c r="A93" t="s">
        <v>230</v>
      </c>
      <c r="B93" t="s">
        <v>14</v>
      </c>
      <c r="C93" s="11">
        <v>45586</v>
      </c>
      <c r="D93" t="s">
        <v>33</v>
      </c>
      <c r="E93" t="s">
        <v>34</v>
      </c>
      <c r="F93">
        <v>3801</v>
      </c>
      <c r="G93">
        <v>967</v>
      </c>
      <c r="H93">
        <v>401</v>
      </c>
      <c r="I93">
        <v>38010</v>
      </c>
      <c r="J93">
        <v>37625</v>
      </c>
      <c r="K93">
        <v>236</v>
      </c>
      <c r="L93" t="s">
        <v>58</v>
      </c>
      <c r="M93" t="s">
        <v>55</v>
      </c>
      <c r="N93" s="14">
        <v>0.13599052880820836</v>
      </c>
      <c r="O93" s="11">
        <v>45585</v>
      </c>
      <c r="P9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94" spans="1:16" x14ac:dyDescent="0.3">
      <c r="A94" t="s">
        <v>231</v>
      </c>
      <c r="B94" t="s">
        <v>31</v>
      </c>
      <c r="C94" s="11">
        <v>45637</v>
      </c>
      <c r="D94" t="s">
        <v>69</v>
      </c>
      <c r="E94" t="s">
        <v>70</v>
      </c>
      <c r="F94">
        <v>1431</v>
      </c>
      <c r="G94">
        <v>951</v>
      </c>
      <c r="H94">
        <v>26</v>
      </c>
      <c r="I94">
        <v>8586</v>
      </c>
      <c r="J94">
        <v>8396</v>
      </c>
      <c r="K94">
        <v>150</v>
      </c>
      <c r="L94" t="s">
        <v>116</v>
      </c>
      <c r="M94" t="s">
        <v>19</v>
      </c>
      <c r="N94" s="14">
        <v>0.28045655718611695</v>
      </c>
      <c r="O94" s="11">
        <v>45634</v>
      </c>
      <c r="P9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95" spans="1:16" x14ac:dyDescent="0.3">
      <c r="A95" t="s">
        <v>233</v>
      </c>
      <c r="B95" t="s">
        <v>31</v>
      </c>
      <c r="C95" s="11">
        <v>45603</v>
      </c>
      <c r="D95" t="s">
        <v>49</v>
      </c>
      <c r="E95" t="s">
        <v>50</v>
      </c>
      <c r="F95">
        <v>2647</v>
      </c>
      <c r="G95">
        <v>304</v>
      </c>
      <c r="H95">
        <v>170</v>
      </c>
      <c r="I95">
        <v>18529</v>
      </c>
      <c r="J95">
        <v>17841</v>
      </c>
      <c r="K95">
        <v>46</v>
      </c>
      <c r="L95" t="s">
        <v>58</v>
      </c>
      <c r="M95" t="s">
        <v>25</v>
      </c>
      <c r="N95" s="14">
        <v>0.16843866371633656</v>
      </c>
      <c r="O95" s="11">
        <v>45599</v>
      </c>
      <c r="P9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96" spans="1:16" x14ac:dyDescent="0.3">
      <c r="A96" t="s">
        <v>234</v>
      </c>
      <c r="B96" t="s">
        <v>31</v>
      </c>
      <c r="C96" s="11">
        <v>45604</v>
      </c>
      <c r="D96" t="s">
        <v>22</v>
      </c>
      <c r="E96" t="s">
        <v>23</v>
      </c>
      <c r="F96">
        <v>3182</v>
      </c>
      <c r="G96">
        <v>559</v>
      </c>
      <c r="H96">
        <v>160</v>
      </c>
      <c r="I96">
        <v>57276</v>
      </c>
      <c r="J96">
        <v>56890</v>
      </c>
      <c r="K96">
        <v>163</v>
      </c>
      <c r="L96" t="s">
        <v>87</v>
      </c>
      <c r="M96" t="s">
        <v>25</v>
      </c>
      <c r="N96" s="14">
        <v>6.8108806480899509E-2</v>
      </c>
      <c r="O96" s="11">
        <v>45599</v>
      </c>
      <c r="P9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97" spans="1:16" x14ac:dyDescent="0.3">
      <c r="A97" t="s">
        <v>236</v>
      </c>
      <c r="B97" t="s">
        <v>14</v>
      </c>
      <c r="C97" s="11">
        <v>45545</v>
      </c>
      <c r="D97" t="s">
        <v>49</v>
      </c>
      <c r="E97" t="s">
        <v>50</v>
      </c>
      <c r="F97">
        <v>1238</v>
      </c>
      <c r="G97">
        <v>366</v>
      </c>
      <c r="H97">
        <v>444</v>
      </c>
      <c r="I97">
        <v>19808</v>
      </c>
      <c r="J97">
        <v>19334</v>
      </c>
      <c r="K97">
        <v>123</v>
      </c>
      <c r="L97" t="s">
        <v>77</v>
      </c>
      <c r="M97" t="s">
        <v>38</v>
      </c>
      <c r="N97" s="14">
        <v>0.10339256865912763</v>
      </c>
      <c r="O97" s="11">
        <v>45543</v>
      </c>
      <c r="P9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98" spans="1:16" x14ac:dyDescent="0.3">
      <c r="A98" t="s">
        <v>238</v>
      </c>
      <c r="B98" t="s">
        <v>31</v>
      </c>
      <c r="C98" s="11">
        <v>45517</v>
      </c>
      <c r="D98" t="s">
        <v>49</v>
      </c>
      <c r="E98" t="s">
        <v>50</v>
      </c>
      <c r="F98">
        <v>4739</v>
      </c>
      <c r="G98">
        <v>527</v>
      </c>
      <c r="H98">
        <v>135</v>
      </c>
      <c r="I98">
        <v>61607</v>
      </c>
      <c r="J98">
        <v>61333</v>
      </c>
      <c r="K98">
        <v>36</v>
      </c>
      <c r="L98" t="s">
        <v>61</v>
      </c>
      <c r="M98" t="s">
        <v>25</v>
      </c>
      <c r="N98" s="14">
        <v>8.7668609086629767E-2</v>
      </c>
      <c r="O98" s="11">
        <v>45515</v>
      </c>
      <c r="P9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99" spans="1:16" x14ac:dyDescent="0.3">
      <c r="A99" t="s">
        <v>240</v>
      </c>
      <c r="B99" t="s">
        <v>14</v>
      </c>
      <c r="C99" s="11">
        <v>45453</v>
      </c>
      <c r="D99" t="s">
        <v>33</v>
      </c>
      <c r="E99" t="s">
        <v>34</v>
      </c>
      <c r="F99">
        <v>1575</v>
      </c>
      <c r="G99">
        <v>771</v>
      </c>
      <c r="H99">
        <v>486</v>
      </c>
      <c r="I99">
        <v>25200</v>
      </c>
      <c r="J99">
        <v>24826</v>
      </c>
      <c r="K99">
        <v>17</v>
      </c>
      <c r="L99" t="s">
        <v>58</v>
      </c>
      <c r="M99" t="s">
        <v>38</v>
      </c>
      <c r="N99" s="14">
        <v>0.11238095238095239</v>
      </c>
      <c r="O99" s="11">
        <v>45452</v>
      </c>
      <c r="P9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00" spans="1:16" x14ac:dyDescent="0.3">
      <c r="A100" t="s">
        <v>241</v>
      </c>
      <c r="B100" t="s">
        <v>576</v>
      </c>
      <c r="C100" s="11">
        <v>45475</v>
      </c>
      <c r="D100" t="s">
        <v>42</v>
      </c>
      <c r="E100" t="s">
        <v>43</v>
      </c>
      <c r="F100">
        <v>4171</v>
      </c>
      <c r="G100">
        <v>548</v>
      </c>
      <c r="H100">
        <v>86</v>
      </c>
      <c r="I100">
        <v>66736</v>
      </c>
      <c r="J100">
        <v>66634</v>
      </c>
      <c r="K100">
        <v>173</v>
      </c>
      <c r="L100" t="s">
        <v>58</v>
      </c>
      <c r="M100" t="s">
        <v>38</v>
      </c>
      <c r="N100" s="14">
        <v>7.2000119875329657E-2</v>
      </c>
      <c r="O100" s="11">
        <v>45473</v>
      </c>
      <c r="P10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01" spans="1:16" x14ac:dyDescent="0.3">
      <c r="A101" t="s">
        <v>243</v>
      </c>
      <c r="B101" t="s">
        <v>576</v>
      </c>
      <c r="C101" s="11">
        <v>45698</v>
      </c>
      <c r="D101" t="s">
        <v>69</v>
      </c>
      <c r="E101" t="s">
        <v>70</v>
      </c>
      <c r="F101">
        <v>1766</v>
      </c>
      <c r="G101">
        <v>92</v>
      </c>
      <c r="H101">
        <v>424</v>
      </c>
      <c r="I101">
        <v>24724</v>
      </c>
      <c r="J101">
        <v>24333</v>
      </c>
      <c r="K101">
        <v>52</v>
      </c>
      <c r="L101" t="s">
        <v>58</v>
      </c>
      <c r="M101" t="s">
        <v>19</v>
      </c>
      <c r="N101" s="14">
        <v>9.2298980747451867E-2</v>
      </c>
      <c r="O101" s="11">
        <v>45697</v>
      </c>
      <c r="P10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02" spans="1:16" x14ac:dyDescent="0.3">
      <c r="A102" t="s">
        <v>245</v>
      </c>
      <c r="B102" t="s">
        <v>576</v>
      </c>
      <c r="C102" s="11">
        <v>45583</v>
      </c>
      <c r="D102" t="s">
        <v>69</v>
      </c>
      <c r="E102" t="s">
        <v>70</v>
      </c>
      <c r="F102">
        <v>4450</v>
      </c>
      <c r="G102">
        <v>983</v>
      </c>
      <c r="H102">
        <v>143</v>
      </c>
      <c r="I102">
        <v>75650</v>
      </c>
      <c r="J102">
        <v>75008</v>
      </c>
      <c r="K102">
        <v>12</v>
      </c>
      <c r="L102" t="s">
        <v>82</v>
      </c>
      <c r="M102" t="s">
        <v>25</v>
      </c>
      <c r="N102" s="14">
        <v>7.3707865168539333E-2</v>
      </c>
      <c r="O102" s="11">
        <v>45578</v>
      </c>
      <c r="P10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03" spans="1:16" x14ac:dyDescent="0.3">
      <c r="A103" t="s">
        <v>246</v>
      </c>
      <c r="B103" t="s">
        <v>14</v>
      </c>
      <c r="C103" s="11">
        <v>45553</v>
      </c>
      <c r="D103" t="s">
        <v>16</v>
      </c>
      <c r="E103" t="s">
        <v>17</v>
      </c>
      <c r="F103">
        <v>1000</v>
      </c>
      <c r="G103">
        <v>978</v>
      </c>
      <c r="H103">
        <v>162</v>
      </c>
      <c r="I103">
        <v>6000</v>
      </c>
      <c r="J103">
        <v>5221</v>
      </c>
      <c r="K103">
        <v>223</v>
      </c>
      <c r="L103" t="s">
        <v>105</v>
      </c>
      <c r="M103" t="s">
        <v>38</v>
      </c>
      <c r="N103" s="14">
        <v>0.35666666666666669</v>
      </c>
      <c r="O103" s="11">
        <v>45550</v>
      </c>
      <c r="P10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04" spans="1:16" x14ac:dyDescent="0.3">
      <c r="A104" t="s">
        <v>248</v>
      </c>
      <c r="B104" t="s">
        <v>40</v>
      </c>
      <c r="C104" s="11">
        <v>45454</v>
      </c>
      <c r="D104" t="s">
        <v>49</v>
      </c>
      <c r="E104" t="s">
        <v>50</v>
      </c>
      <c r="F104">
        <v>3689</v>
      </c>
      <c r="G104">
        <v>48</v>
      </c>
      <c r="H104">
        <v>306</v>
      </c>
      <c r="I104">
        <v>40579</v>
      </c>
      <c r="J104">
        <v>39588</v>
      </c>
      <c r="K104">
        <v>212</v>
      </c>
      <c r="L104" t="s">
        <v>44</v>
      </c>
      <c r="M104" t="s">
        <v>19</v>
      </c>
      <c r="N104" s="14">
        <v>9.9632815002833983E-2</v>
      </c>
      <c r="O104" s="11">
        <v>45452</v>
      </c>
      <c r="P10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05" spans="1:16" x14ac:dyDescent="0.3">
      <c r="A105" t="s">
        <v>250</v>
      </c>
      <c r="B105" t="s">
        <v>576</v>
      </c>
      <c r="C105" s="11">
        <v>45739</v>
      </c>
      <c r="D105" t="s">
        <v>33</v>
      </c>
      <c r="E105" t="s">
        <v>34</v>
      </c>
      <c r="F105">
        <v>3655</v>
      </c>
      <c r="G105">
        <v>568</v>
      </c>
      <c r="H105">
        <v>286</v>
      </c>
      <c r="I105">
        <v>32895</v>
      </c>
      <c r="J105">
        <v>32015</v>
      </c>
      <c r="K105">
        <v>199</v>
      </c>
      <c r="L105" t="s">
        <v>44</v>
      </c>
      <c r="M105" t="s">
        <v>55</v>
      </c>
      <c r="N105" s="14">
        <v>0.13707250341997265</v>
      </c>
      <c r="O105" s="11">
        <v>45739</v>
      </c>
      <c r="P10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06" spans="1:16" x14ac:dyDescent="0.3">
      <c r="A106" t="s">
        <v>252</v>
      </c>
      <c r="B106" t="s">
        <v>31</v>
      </c>
      <c r="C106" s="11">
        <v>45457</v>
      </c>
      <c r="D106" t="s">
        <v>42</v>
      </c>
      <c r="E106" t="s">
        <v>43</v>
      </c>
      <c r="F106">
        <v>498</v>
      </c>
      <c r="G106">
        <v>38</v>
      </c>
      <c r="H106">
        <v>42</v>
      </c>
      <c r="I106">
        <v>4482</v>
      </c>
      <c r="J106">
        <v>3647</v>
      </c>
      <c r="K106">
        <v>32</v>
      </c>
      <c r="L106" t="s">
        <v>162</v>
      </c>
      <c r="M106" t="s">
        <v>55</v>
      </c>
      <c r="N106" s="14">
        <v>0.12896028558679162</v>
      </c>
      <c r="O106" s="11">
        <v>45452</v>
      </c>
      <c r="P10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07" spans="1:16" x14ac:dyDescent="0.3">
      <c r="A107" t="s">
        <v>254</v>
      </c>
      <c r="B107" t="s">
        <v>31</v>
      </c>
      <c r="C107" s="11">
        <v>45692</v>
      </c>
      <c r="D107" t="s">
        <v>49</v>
      </c>
      <c r="E107" t="s">
        <v>50</v>
      </c>
      <c r="F107">
        <v>4619</v>
      </c>
      <c r="G107">
        <v>821</v>
      </c>
      <c r="H107">
        <v>499</v>
      </c>
      <c r="I107">
        <v>69285</v>
      </c>
      <c r="J107">
        <v>69141</v>
      </c>
      <c r="K107">
        <v>298</v>
      </c>
      <c r="L107" t="s">
        <v>24</v>
      </c>
      <c r="M107" t="s">
        <v>19</v>
      </c>
      <c r="N107" s="14">
        <v>8.5718409468138843E-2</v>
      </c>
      <c r="O107" s="11">
        <v>45690</v>
      </c>
      <c r="P10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08" spans="1:16" x14ac:dyDescent="0.3">
      <c r="A108" t="s">
        <v>256</v>
      </c>
      <c r="B108" t="s">
        <v>576</v>
      </c>
      <c r="C108" s="11">
        <v>45464</v>
      </c>
      <c r="D108" t="s">
        <v>49</v>
      </c>
      <c r="E108" t="s">
        <v>50</v>
      </c>
      <c r="F108">
        <v>4832</v>
      </c>
      <c r="G108">
        <v>893</v>
      </c>
      <c r="H108">
        <v>10</v>
      </c>
      <c r="I108">
        <v>91808</v>
      </c>
      <c r="J108">
        <v>91296</v>
      </c>
      <c r="K108">
        <v>182</v>
      </c>
      <c r="L108" t="s">
        <v>82</v>
      </c>
      <c r="M108" t="s">
        <v>38</v>
      </c>
      <c r="N108" s="14">
        <v>6.2467323109097243E-2</v>
      </c>
      <c r="O108" s="11">
        <v>45459</v>
      </c>
      <c r="P10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09" spans="1:16" x14ac:dyDescent="0.3">
      <c r="A109" t="s">
        <v>258</v>
      </c>
      <c r="B109" t="s">
        <v>14</v>
      </c>
      <c r="C109" s="11">
        <v>45741</v>
      </c>
      <c r="D109" t="s">
        <v>69</v>
      </c>
      <c r="E109" t="s">
        <v>70</v>
      </c>
      <c r="F109">
        <v>4050</v>
      </c>
      <c r="G109">
        <v>871</v>
      </c>
      <c r="H109">
        <v>347</v>
      </c>
      <c r="I109">
        <v>52650</v>
      </c>
      <c r="J109">
        <v>51755</v>
      </c>
      <c r="K109">
        <v>209</v>
      </c>
      <c r="L109" t="s">
        <v>162</v>
      </c>
      <c r="M109" t="s">
        <v>19</v>
      </c>
      <c r="N109" s="14">
        <v>0.10005698005698006</v>
      </c>
      <c r="O109" s="11">
        <v>45739</v>
      </c>
      <c r="P10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10" spans="1:16" x14ac:dyDescent="0.3">
      <c r="A110" t="s">
        <v>260</v>
      </c>
      <c r="B110" t="s">
        <v>14</v>
      </c>
      <c r="C110" s="11">
        <v>45512</v>
      </c>
      <c r="D110" t="s">
        <v>33</v>
      </c>
      <c r="E110" t="s">
        <v>34</v>
      </c>
      <c r="F110">
        <v>3649</v>
      </c>
      <c r="G110">
        <v>215</v>
      </c>
      <c r="H110">
        <v>413</v>
      </c>
      <c r="I110">
        <v>25543</v>
      </c>
      <c r="J110">
        <v>24963</v>
      </c>
      <c r="K110">
        <v>167</v>
      </c>
      <c r="L110" t="s">
        <v>146</v>
      </c>
      <c r="M110" t="s">
        <v>19</v>
      </c>
      <c r="N110" s="14">
        <v>0.16744313510550835</v>
      </c>
      <c r="O110" s="11">
        <v>45508</v>
      </c>
      <c r="P11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11" spans="1:16" x14ac:dyDescent="0.3">
      <c r="A111" t="s">
        <v>262</v>
      </c>
      <c r="B111" t="s">
        <v>31</v>
      </c>
      <c r="C111" s="11">
        <v>45502</v>
      </c>
      <c r="D111" t="s">
        <v>16</v>
      </c>
      <c r="E111" t="s">
        <v>17</v>
      </c>
      <c r="F111">
        <v>3523</v>
      </c>
      <c r="G111">
        <v>753</v>
      </c>
      <c r="H111">
        <v>482</v>
      </c>
      <c r="I111">
        <v>38753</v>
      </c>
      <c r="J111">
        <v>38579</v>
      </c>
      <c r="K111">
        <v>270</v>
      </c>
      <c r="L111" t="s">
        <v>264</v>
      </c>
      <c r="M111" t="s">
        <v>25</v>
      </c>
      <c r="N111" s="14">
        <v>0.12277759141227776</v>
      </c>
      <c r="O111" s="11">
        <v>45501</v>
      </c>
      <c r="P11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12" spans="1:16" x14ac:dyDescent="0.3">
      <c r="A112" t="s">
        <v>265</v>
      </c>
      <c r="B112" t="s">
        <v>576</v>
      </c>
      <c r="C112" s="11">
        <v>45619</v>
      </c>
      <c r="D112" t="s">
        <v>49</v>
      </c>
      <c r="E112" t="s">
        <v>50</v>
      </c>
      <c r="F112">
        <v>2719</v>
      </c>
      <c r="G112">
        <v>17</v>
      </c>
      <c r="H112">
        <v>285</v>
      </c>
      <c r="I112">
        <v>40785</v>
      </c>
      <c r="J112">
        <v>40281</v>
      </c>
      <c r="K112">
        <v>40</v>
      </c>
      <c r="L112" t="s">
        <v>146</v>
      </c>
      <c r="M112" t="s">
        <v>38</v>
      </c>
      <c r="N112" s="14">
        <v>7.4071349760941527E-2</v>
      </c>
      <c r="O112" s="11">
        <v>45613</v>
      </c>
      <c r="P11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13" spans="1:16" x14ac:dyDescent="0.3">
      <c r="A113" t="s">
        <v>267</v>
      </c>
      <c r="B113" t="s">
        <v>14</v>
      </c>
      <c r="C113" s="11">
        <v>45570</v>
      </c>
      <c r="D113" t="s">
        <v>33</v>
      </c>
      <c r="E113" t="s">
        <v>34</v>
      </c>
      <c r="F113">
        <v>1957</v>
      </c>
      <c r="G113">
        <v>877</v>
      </c>
      <c r="H113">
        <v>238</v>
      </c>
      <c r="I113">
        <v>17613</v>
      </c>
      <c r="J113">
        <v>16865</v>
      </c>
      <c r="K113">
        <v>297</v>
      </c>
      <c r="L113" t="s">
        <v>29</v>
      </c>
      <c r="M113" t="s">
        <v>38</v>
      </c>
      <c r="N113" s="14">
        <v>0.17441662408448305</v>
      </c>
      <c r="O113" s="11">
        <v>45564</v>
      </c>
      <c r="P11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14" spans="1:16" x14ac:dyDescent="0.3">
      <c r="A114" t="s">
        <v>269</v>
      </c>
      <c r="B114" t="s">
        <v>14</v>
      </c>
      <c r="C114" s="11">
        <v>45567</v>
      </c>
      <c r="D114" t="s">
        <v>42</v>
      </c>
      <c r="E114" t="s">
        <v>43</v>
      </c>
      <c r="F114">
        <v>4419</v>
      </c>
      <c r="G114">
        <v>236</v>
      </c>
      <c r="H114">
        <v>369</v>
      </c>
      <c r="I114">
        <v>44190</v>
      </c>
      <c r="J114">
        <v>43582</v>
      </c>
      <c r="K114">
        <v>10</v>
      </c>
      <c r="L114" t="s">
        <v>44</v>
      </c>
      <c r="M114" t="s">
        <v>55</v>
      </c>
      <c r="N114" s="14">
        <v>0.11369088028965829</v>
      </c>
      <c r="O114" s="11">
        <v>45564</v>
      </c>
      <c r="P11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15" spans="1:16" x14ac:dyDescent="0.3">
      <c r="A115" t="s">
        <v>271</v>
      </c>
      <c r="B115" t="s">
        <v>14</v>
      </c>
      <c r="C115" s="11">
        <v>45610</v>
      </c>
      <c r="D115" t="s">
        <v>33</v>
      </c>
      <c r="E115" t="s">
        <v>34</v>
      </c>
      <c r="F115">
        <v>4000</v>
      </c>
      <c r="G115">
        <v>689</v>
      </c>
      <c r="H115">
        <v>488</v>
      </c>
      <c r="I115">
        <v>40000</v>
      </c>
      <c r="J115">
        <v>39569</v>
      </c>
      <c r="K115">
        <v>44</v>
      </c>
      <c r="L115" t="s">
        <v>144</v>
      </c>
      <c r="M115" t="s">
        <v>38</v>
      </c>
      <c r="N115" s="14">
        <v>0.12942500000000001</v>
      </c>
      <c r="O115" s="11">
        <v>45606</v>
      </c>
      <c r="P11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16" spans="1:16" x14ac:dyDescent="0.3">
      <c r="A116" t="s">
        <v>273</v>
      </c>
      <c r="B116" t="s">
        <v>14</v>
      </c>
      <c r="C116" s="11">
        <v>45788</v>
      </c>
      <c r="D116" t="s">
        <v>49</v>
      </c>
      <c r="E116" t="s">
        <v>50</v>
      </c>
      <c r="F116">
        <v>2493</v>
      </c>
      <c r="G116">
        <v>97</v>
      </c>
      <c r="H116">
        <v>44</v>
      </c>
      <c r="I116">
        <v>42381</v>
      </c>
      <c r="J116">
        <v>41991</v>
      </c>
      <c r="K116">
        <v>242</v>
      </c>
      <c r="L116" t="s">
        <v>82</v>
      </c>
      <c r="M116" t="s">
        <v>19</v>
      </c>
      <c r="N116" s="14">
        <v>6.2150491965739366E-2</v>
      </c>
      <c r="O116" s="11">
        <v>45788</v>
      </c>
      <c r="P11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17" spans="1:16" x14ac:dyDescent="0.3">
      <c r="A117" t="s">
        <v>275</v>
      </c>
      <c r="B117" t="s">
        <v>576</v>
      </c>
      <c r="C117" s="11">
        <v>45734</v>
      </c>
      <c r="D117" t="s">
        <v>16</v>
      </c>
      <c r="E117" t="s">
        <v>17</v>
      </c>
      <c r="F117">
        <v>3704</v>
      </c>
      <c r="G117">
        <v>186</v>
      </c>
      <c r="H117">
        <v>458</v>
      </c>
      <c r="I117">
        <v>25928</v>
      </c>
      <c r="J117">
        <v>25081</v>
      </c>
      <c r="K117">
        <v>131</v>
      </c>
      <c r="L117" t="s">
        <v>58</v>
      </c>
      <c r="M117" t="s">
        <v>19</v>
      </c>
      <c r="N117" s="14">
        <v>0.16769515581610614</v>
      </c>
      <c r="O117" s="11">
        <v>45732</v>
      </c>
      <c r="P11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18" spans="1:16" x14ac:dyDescent="0.3">
      <c r="A118" t="s">
        <v>277</v>
      </c>
      <c r="B118" t="s">
        <v>14</v>
      </c>
      <c r="C118" s="11">
        <v>45600</v>
      </c>
      <c r="D118" t="s">
        <v>49</v>
      </c>
      <c r="E118" t="s">
        <v>50</v>
      </c>
      <c r="F118">
        <v>1606</v>
      </c>
      <c r="G118">
        <v>451</v>
      </c>
      <c r="H118">
        <v>405</v>
      </c>
      <c r="I118">
        <v>20878</v>
      </c>
      <c r="J118">
        <v>20190</v>
      </c>
      <c r="K118">
        <v>219</v>
      </c>
      <c r="L118" t="s">
        <v>82</v>
      </c>
      <c r="M118" t="s">
        <v>25</v>
      </c>
      <c r="N118" s="14">
        <v>0.11792317271769326</v>
      </c>
      <c r="O118" s="11">
        <v>45599</v>
      </c>
      <c r="P11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19" spans="1:16" x14ac:dyDescent="0.3">
      <c r="A119" t="s">
        <v>279</v>
      </c>
      <c r="B119" t="s">
        <v>40</v>
      </c>
      <c r="C119" s="11">
        <v>45600</v>
      </c>
      <c r="D119" t="s">
        <v>49</v>
      </c>
      <c r="E119" t="s">
        <v>50</v>
      </c>
      <c r="F119">
        <v>4551</v>
      </c>
      <c r="G119">
        <v>714</v>
      </c>
      <c r="H119">
        <v>207</v>
      </c>
      <c r="I119">
        <v>68265</v>
      </c>
      <c r="J119">
        <v>67754</v>
      </c>
      <c r="K119">
        <v>57</v>
      </c>
      <c r="L119" t="s">
        <v>44</v>
      </c>
      <c r="M119" t="s">
        <v>25</v>
      </c>
      <c r="N119" s="14">
        <v>8.0158206987475278E-2</v>
      </c>
      <c r="O119" s="11">
        <v>45599</v>
      </c>
      <c r="P11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20" spans="1:16" x14ac:dyDescent="0.3">
      <c r="A120" t="s">
        <v>280</v>
      </c>
      <c r="B120" t="s">
        <v>31</v>
      </c>
      <c r="C120" s="11">
        <v>45695</v>
      </c>
      <c r="D120" t="s">
        <v>16</v>
      </c>
      <c r="E120" t="s">
        <v>17</v>
      </c>
      <c r="F120">
        <v>1970</v>
      </c>
      <c r="G120">
        <v>675</v>
      </c>
      <c r="H120">
        <v>478</v>
      </c>
      <c r="I120">
        <v>9850</v>
      </c>
      <c r="J120">
        <v>8924</v>
      </c>
      <c r="K120">
        <v>117</v>
      </c>
      <c r="L120" t="s">
        <v>44</v>
      </c>
      <c r="M120" t="s">
        <v>55</v>
      </c>
      <c r="N120" s="14">
        <v>0.31705583756345179</v>
      </c>
      <c r="O120" s="11">
        <v>45690</v>
      </c>
      <c r="P12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21" spans="1:16" x14ac:dyDescent="0.3">
      <c r="A121" t="s">
        <v>282</v>
      </c>
      <c r="B121" t="s">
        <v>40</v>
      </c>
      <c r="C121" s="11">
        <v>45586</v>
      </c>
      <c r="D121" t="s">
        <v>33</v>
      </c>
      <c r="E121" t="s">
        <v>34</v>
      </c>
      <c r="F121">
        <v>780</v>
      </c>
      <c r="G121">
        <v>928</v>
      </c>
      <c r="H121">
        <v>301</v>
      </c>
      <c r="I121">
        <v>8580</v>
      </c>
      <c r="J121">
        <v>8081</v>
      </c>
      <c r="K121">
        <v>91</v>
      </c>
      <c r="L121" t="s">
        <v>66</v>
      </c>
      <c r="M121" t="s">
        <v>55</v>
      </c>
      <c r="N121" s="14">
        <v>0.23414918414918415</v>
      </c>
      <c r="O121" s="11">
        <v>45585</v>
      </c>
      <c r="P12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22" spans="1:16" x14ac:dyDescent="0.3">
      <c r="A122" t="s">
        <v>283</v>
      </c>
      <c r="B122" t="s">
        <v>31</v>
      </c>
      <c r="C122" s="11">
        <v>45502</v>
      </c>
      <c r="D122" t="s">
        <v>33</v>
      </c>
      <c r="E122" t="s">
        <v>34</v>
      </c>
      <c r="F122">
        <v>498</v>
      </c>
      <c r="G122">
        <v>701</v>
      </c>
      <c r="H122">
        <v>412</v>
      </c>
      <c r="I122">
        <v>4980</v>
      </c>
      <c r="J122">
        <v>4185</v>
      </c>
      <c r="K122">
        <v>185</v>
      </c>
      <c r="L122" t="s">
        <v>264</v>
      </c>
      <c r="M122" t="s">
        <v>55</v>
      </c>
      <c r="N122" s="14">
        <v>0.32349397590361445</v>
      </c>
      <c r="O122" s="11">
        <v>45501</v>
      </c>
      <c r="P12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23" spans="1:16" x14ac:dyDescent="0.3">
      <c r="A123" t="s">
        <v>284</v>
      </c>
      <c r="B123" t="s">
        <v>31</v>
      </c>
      <c r="C123" s="11">
        <v>45567</v>
      </c>
      <c r="D123" t="s">
        <v>22</v>
      </c>
      <c r="E123" t="s">
        <v>23</v>
      </c>
      <c r="F123">
        <v>3432</v>
      </c>
      <c r="G123">
        <v>869</v>
      </c>
      <c r="H123">
        <v>123</v>
      </c>
      <c r="I123">
        <v>54912</v>
      </c>
      <c r="J123">
        <v>53916</v>
      </c>
      <c r="K123">
        <v>264</v>
      </c>
      <c r="L123" t="s">
        <v>285</v>
      </c>
      <c r="M123" t="s">
        <v>25</v>
      </c>
      <c r="N123" s="14">
        <v>8.0565268065268064E-2</v>
      </c>
      <c r="O123" s="11">
        <v>45564</v>
      </c>
      <c r="P12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24" spans="1:16" x14ac:dyDescent="0.3">
      <c r="A124" t="s">
        <v>286</v>
      </c>
      <c r="B124" t="s">
        <v>31</v>
      </c>
      <c r="C124" s="11">
        <v>45457</v>
      </c>
      <c r="D124" t="s">
        <v>33</v>
      </c>
      <c r="E124" t="s">
        <v>34</v>
      </c>
      <c r="F124">
        <v>4363</v>
      </c>
      <c r="G124">
        <v>649</v>
      </c>
      <c r="H124">
        <v>140</v>
      </c>
      <c r="I124">
        <v>21815</v>
      </c>
      <c r="J124">
        <v>21481</v>
      </c>
      <c r="K124">
        <v>157</v>
      </c>
      <c r="L124" t="s">
        <v>66</v>
      </c>
      <c r="M124" t="s">
        <v>25</v>
      </c>
      <c r="N124" s="14">
        <v>0.23616777446710979</v>
      </c>
      <c r="O124" s="11">
        <v>45452</v>
      </c>
      <c r="P12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25" spans="1:16" x14ac:dyDescent="0.3">
      <c r="A125" t="s">
        <v>287</v>
      </c>
      <c r="B125" t="s">
        <v>576</v>
      </c>
      <c r="C125" s="11">
        <v>45753</v>
      </c>
      <c r="D125" t="s">
        <v>42</v>
      </c>
      <c r="E125" t="s">
        <v>43</v>
      </c>
      <c r="F125">
        <v>736</v>
      </c>
      <c r="G125">
        <v>771</v>
      </c>
      <c r="H125">
        <v>225</v>
      </c>
      <c r="I125">
        <v>5152</v>
      </c>
      <c r="J125">
        <v>4706</v>
      </c>
      <c r="K125">
        <v>19</v>
      </c>
      <c r="L125" t="s">
        <v>58</v>
      </c>
      <c r="M125" t="s">
        <v>38</v>
      </c>
      <c r="N125" s="14">
        <v>0.33618012422360249</v>
      </c>
      <c r="O125" s="11">
        <v>45753</v>
      </c>
      <c r="P12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26" spans="1:16" x14ac:dyDescent="0.3">
      <c r="A126" t="s">
        <v>289</v>
      </c>
      <c r="B126" t="s">
        <v>14</v>
      </c>
      <c r="C126" s="11">
        <v>45543</v>
      </c>
      <c r="D126" t="s">
        <v>42</v>
      </c>
      <c r="E126" t="s">
        <v>43</v>
      </c>
      <c r="F126">
        <v>3811</v>
      </c>
      <c r="G126">
        <v>866</v>
      </c>
      <c r="H126">
        <v>216</v>
      </c>
      <c r="I126">
        <v>34299</v>
      </c>
      <c r="J126">
        <v>34088</v>
      </c>
      <c r="K126">
        <v>233</v>
      </c>
      <c r="L126" t="s">
        <v>58</v>
      </c>
      <c r="M126" t="s">
        <v>38</v>
      </c>
      <c r="N126" s="14">
        <v>0.14265722032712325</v>
      </c>
      <c r="O126" s="11">
        <v>45543</v>
      </c>
      <c r="P12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27" spans="1:16" x14ac:dyDescent="0.3">
      <c r="A127" t="s">
        <v>291</v>
      </c>
      <c r="B127" t="s">
        <v>31</v>
      </c>
      <c r="C127" s="11">
        <v>45744</v>
      </c>
      <c r="D127" t="s">
        <v>42</v>
      </c>
      <c r="E127" t="s">
        <v>43</v>
      </c>
      <c r="F127">
        <v>4158</v>
      </c>
      <c r="G127">
        <v>167</v>
      </c>
      <c r="H127">
        <v>241</v>
      </c>
      <c r="I127">
        <v>45738</v>
      </c>
      <c r="J127">
        <v>45183</v>
      </c>
      <c r="K127">
        <v>142</v>
      </c>
      <c r="L127" t="s">
        <v>24</v>
      </c>
      <c r="M127" t="s">
        <v>25</v>
      </c>
      <c r="N127" s="14">
        <v>9.9829463465827106E-2</v>
      </c>
      <c r="O127" s="11">
        <v>45739</v>
      </c>
      <c r="P12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28" spans="1:16" x14ac:dyDescent="0.3">
      <c r="A128" t="s">
        <v>292</v>
      </c>
      <c r="B128" t="s">
        <v>40</v>
      </c>
      <c r="C128" s="11">
        <v>45684</v>
      </c>
      <c r="D128" t="s">
        <v>16</v>
      </c>
      <c r="E128" t="s">
        <v>17</v>
      </c>
      <c r="F128">
        <v>3452</v>
      </c>
      <c r="G128">
        <v>652</v>
      </c>
      <c r="H128">
        <v>442</v>
      </c>
      <c r="I128">
        <v>65588</v>
      </c>
      <c r="J128">
        <v>65049</v>
      </c>
      <c r="K128">
        <v>158</v>
      </c>
      <c r="L128" t="s">
        <v>82</v>
      </c>
      <c r="M128" t="s">
        <v>19</v>
      </c>
      <c r="N128" s="14">
        <v>6.9311459413307311E-2</v>
      </c>
      <c r="O128" s="11">
        <v>45683</v>
      </c>
      <c r="P12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29" spans="1:16" x14ac:dyDescent="0.3">
      <c r="A129" t="s">
        <v>293</v>
      </c>
      <c r="B129" t="s">
        <v>14</v>
      </c>
      <c r="C129" s="11">
        <v>45667</v>
      </c>
      <c r="D129" t="s">
        <v>49</v>
      </c>
      <c r="E129" t="s">
        <v>50</v>
      </c>
      <c r="F129">
        <v>3092</v>
      </c>
      <c r="G129">
        <v>106</v>
      </c>
      <c r="H129">
        <v>291</v>
      </c>
      <c r="I129">
        <v>27828</v>
      </c>
      <c r="J129">
        <v>27217</v>
      </c>
      <c r="K129">
        <v>102</v>
      </c>
      <c r="L129" t="s">
        <v>58</v>
      </c>
      <c r="M129" t="s">
        <v>55</v>
      </c>
      <c r="N129" s="14">
        <v>0.12537731780940059</v>
      </c>
      <c r="O129" s="11">
        <v>45662</v>
      </c>
      <c r="P12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30" spans="1:16" x14ac:dyDescent="0.3">
      <c r="A130" t="s">
        <v>294</v>
      </c>
      <c r="B130" t="s">
        <v>14</v>
      </c>
      <c r="C130" s="11">
        <v>45494</v>
      </c>
      <c r="D130" t="s">
        <v>22</v>
      </c>
      <c r="E130" t="s">
        <v>23</v>
      </c>
      <c r="F130">
        <v>2147</v>
      </c>
      <c r="G130">
        <v>430</v>
      </c>
      <c r="H130">
        <v>393</v>
      </c>
      <c r="I130">
        <v>17176</v>
      </c>
      <c r="J130">
        <v>16483</v>
      </c>
      <c r="K130">
        <v>170</v>
      </c>
      <c r="L130" t="s">
        <v>77</v>
      </c>
      <c r="M130" t="s">
        <v>55</v>
      </c>
      <c r="N130" s="14">
        <v>0.17291569632044715</v>
      </c>
      <c r="O130" s="11">
        <v>45494</v>
      </c>
      <c r="P13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31" spans="1:16" x14ac:dyDescent="0.3">
      <c r="A131" t="s">
        <v>295</v>
      </c>
      <c r="B131" t="s">
        <v>576</v>
      </c>
      <c r="C131" s="11">
        <v>45564</v>
      </c>
      <c r="D131" t="s">
        <v>16</v>
      </c>
      <c r="E131" t="s">
        <v>17</v>
      </c>
      <c r="F131">
        <v>2936</v>
      </c>
      <c r="G131">
        <v>439</v>
      </c>
      <c r="H131">
        <v>44</v>
      </c>
      <c r="I131">
        <v>38168</v>
      </c>
      <c r="J131">
        <v>37571</v>
      </c>
      <c r="K131">
        <v>22</v>
      </c>
      <c r="L131" t="s">
        <v>18</v>
      </c>
      <c r="M131" t="s">
        <v>38</v>
      </c>
      <c r="N131" s="14">
        <v>8.9577656675749323E-2</v>
      </c>
      <c r="O131" s="11">
        <v>45564</v>
      </c>
      <c r="P13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32" spans="1:16" x14ac:dyDescent="0.3">
      <c r="A132" t="s">
        <v>297</v>
      </c>
      <c r="B132" t="s">
        <v>31</v>
      </c>
      <c r="C132" s="11">
        <v>45586</v>
      </c>
      <c r="D132" t="s">
        <v>16</v>
      </c>
      <c r="E132" t="s">
        <v>17</v>
      </c>
      <c r="F132">
        <v>4840</v>
      </c>
      <c r="G132">
        <v>658</v>
      </c>
      <c r="H132">
        <v>211</v>
      </c>
      <c r="I132">
        <v>43560</v>
      </c>
      <c r="J132">
        <v>43225</v>
      </c>
      <c r="K132">
        <v>57</v>
      </c>
      <c r="L132" t="s">
        <v>66</v>
      </c>
      <c r="M132" t="s">
        <v>25</v>
      </c>
      <c r="N132" s="14">
        <v>0.13106060606060607</v>
      </c>
      <c r="O132" s="11">
        <v>45585</v>
      </c>
      <c r="P13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33" spans="1:16" x14ac:dyDescent="0.3">
      <c r="A133" t="s">
        <v>298</v>
      </c>
      <c r="B133" t="s">
        <v>31</v>
      </c>
      <c r="C133" s="11">
        <v>45720</v>
      </c>
      <c r="D133" t="s">
        <v>33</v>
      </c>
      <c r="E133" t="s">
        <v>34</v>
      </c>
      <c r="F133">
        <v>1947</v>
      </c>
      <c r="G133">
        <v>842</v>
      </c>
      <c r="H133">
        <v>101</v>
      </c>
      <c r="I133">
        <v>21417</v>
      </c>
      <c r="J133">
        <v>20967</v>
      </c>
      <c r="K133">
        <v>186</v>
      </c>
      <c r="L133" t="s">
        <v>24</v>
      </c>
      <c r="M133" t="s">
        <v>25</v>
      </c>
      <c r="N133" s="14">
        <v>0.13493953401503478</v>
      </c>
      <c r="O133" s="11">
        <v>45718</v>
      </c>
      <c r="P13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34" spans="1:16" x14ac:dyDescent="0.3">
      <c r="A134" t="s">
        <v>299</v>
      </c>
      <c r="B134" t="s">
        <v>40</v>
      </c>
      <c r="C134" s="11">
        <v>45694</v>
      </c>
      <c r="D134" t="s">
        <v>49</v>
      </c>
      <c r="E134" t="s">
        <v>50</v>
      </c>
      <c r="F134">
        <v>2072</v>
      </c>
      <c r="G134">
        <v>532</v>
      </c>
      <c r="H134">
        <v>71</v>
      </c>
      <c r="I134">
        <v>37296</v>
      </c>
      <c r="J134">
        <v>36467</v>
      </c>
      <c r="K134">
        <v>25</v>
      </c>
      <c r="L134" t="s">
        <v>18</v>
      </c>
      <c r="M134" t="s">
        <v>38</v>
      </c>
      <c r="N134" s="14">
        <v>7.172350922350923E-2</v>
      </c>
      <c r="O134" s="11">
        <v>45690</v>
      </c>
      <c r="P13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35" spans="1:16" x14ac:dyDescent="0.3">
      <c r="A135" t="s">
        <v>301</v>
      </c>
      <c r="B135" t="s">
        <v>14</v>
      </c>
      <c r="C135" s="11">
        <v>45771</v>
      </c>
      <c r="D135" t="s">
        <v>16</v>
      </c>
      <c r="E135" t="s">
        <v>17</v>
      </c>
      <c r="F135">
        <v>3731</v>
      </c>
      <c r="G135">
        <v>115</v>
      </c>
      <c r="H135">
        <v>135</v>
      </c>
      <c r="I135">
        <v>55965</v>
      </c>
      <c r="J135">
        <v>55436</v>
      </c>
      <c r="K135">
        <v>103</v>
      </c>
      <c r="L135" t="s">
        <v>77</v>
      </c>
      <c r="M135" t="s">
        <v>55</v>
      </c>
      <c r="N135" s="14">
        <v>7.1133744304476013E-2</v>
      </c>
      <c r="O135" s="11">
        <v>45767</v>
      </c>
      <c r="P13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36" spans="1:16" x14ac:dyDescent="0.3">
      <c r="A136" t="s">
        <v>303</v>
      </c>
      <c r="B136" t="s">
        <v>40</v>
      </c>
      <c r="C136" s="11">
        <v>45624</v>
      </c>
      <c r="D136" t="s">
        <v>22</v>
      </c>
      <c r="E136" t="s">
        <v>23</v>
      </c>
      <c r="F136">
        <v>4213</v>
      </c>
      <c r="G136">
        <v>253</v>
      </c>
      <c r="H136">
        <v>434</v>
      </c>
      <c r="I136">
        <v>75834</v>
      </c>
      <c r="J136">
        <v>75437</v>
      </c>
      <c r="K136">
        <v>272</v>
      </c>
      <c r="L136" t="s">
        <v>44</v>
      </c>
      <c r="M136" t="s">
        <v>38</v>
      </c>
      <c r="N136" s="14">
        <v>6.461481657304112E-2</v>
      </c>
      <c r="O136" s="11">
        <v>45620</v>
      </c>
      <c r="P13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37" spans="1:16" x14ac:dyDescent="0.3">
      <c r="A137" t="s">
        <v>305</v>
      </c>
      <c r="B137" t="s">
        <v>31</v>
      </c>
      <c r="C137" s="11">
        <v>45484</v>
      </c>
      <c r="D137" t="s">
        <v>22</v>
      </c>
      <c r="E137" t="s">
        <v>23</v>
      </c>
      <c r="F137">
        <v>3134</v>
      </c>
      <c r="G137">
        <v>888</v>
      </c>
      <c r="H137">
        <v>444</v>
      </c>
      <c r="I137">
        <v>21938</v>
      </c>
      <c r="J137">
        <v>21337</v>
      </c>
      <c r="K137">
        <v>130</v>
      </c>
      <c r="L137" t="s">
        <v>66</v>
      </c>
      <c r="M137" t="s">
        <v>55</v>
      </c>
      <c r="N137" s="14">
        <v>0.20357370772176134</v>
      </c>
      <c r="O137" s="11">
        <v>45480</v>
      </c>
      <c r="P13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38" spans="1:16" x14ac:dyDescent="0.3">
      <c r="A138" t="s">
        <v>307</v>
      </c>
      <c r="B138" t="s">
        <v>40</v>
      </c>
      <c r="C138" s="11">
        <v>45504</v>
      </c>
      <c r="D138" t="s">
        <v>69</v>
      </c>
      <c r="E138" t="s">
        <v>70</v>
      </c>
      <c r="F138">
        <v>3008</v>
      </c>
      <c r="G138">
        <v>94</v>
      </c>
      <c r="H138">
        <v>37</v>
      </c>
      <c r="I138">
        <v>15040</v>
      </c>
      <c r="J138">
        <v>14639</v>
      </c>
      <c r="K138">
        <v>277</v>
      </c>
      <c r="L138" t="s">
        <v>77</v>
      </c>
      <c r="M138" t="s">
        <v>19</v>
      </c>
      <c r="N138" s="14">
        <v>0.20871010638297871</v>
      </c>
      <c r="O138" s="11">
        <v>45501</v>
      </c>
      <c r="P13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39" spans="1:16" x14ac:dyDescent="0.3">
      <c r="A139" t="s">
        <v>308</v>
      </c>
      <c r="B139" t="s">
        <v>14</v>
      </c>
      <c r="C139" s="11">
        <v>45745</v>
      </c>
      <c r="D139" t="s">
        <v>49</v>
      </c>
      <c r="E139" t="s">
        <v>50</v>
      </c>
      <c r="F139">
        <v>305</v>
      </c>
      <c r="G139">
        <v>187</v>
      </c>
      <c r="H139">
        <v>243</v>
      </c>
      <c r="I139">
        <v>4575</v>
      </c>
      <c r="J139">
        <v>3704</v>
      </c>
      <c r="K139">
        <v>234</v>
      </c>
      <c r="L139" t="s">
        <v>285</v>
      </c>
      <c r="M139" t="s">
        <v>55</v>
      </c>
      <c r="N139" s="14">
        <v>0.16065573770491803</v>
      </c>
      <c r="O139" s="11">
        <v>45739</v>
      </c>
      <c r="P13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40" spans="1:16" x14ac:dyDescent="0.3">
      <c r="A140" t="s">
        <v>309</v>
      </c>
      <c r="B140" t="s">
        <v>576</v>
      </c>
      <c r="C140" s="11">
        <v>45594</v>
      </c>
      <c r="D140" t="s">
        <v>22</v>
      </c>
      <c r="E140" t="s">
        <v>23</v>
      </c>
      <c r="F140">
        <v>2746</v>
      </c>
      <c r="G140">
        <v>156</v>
      </c>
      <c r="H140">
        <v>203</v>
      </c>
      <c r="I140">
        <v>32952</v>
      </c>
      <c r="J140">
        <v>32147</v>
      </c>
      <c r="K140">
        <v>147</v>
      </c>
      <c r="L140" t="s">
        <v>146</v>
      </c>
      <c r="M140" t="s">
        <v>25</v>
      </c>
      <c r="N140" s="14">
        <v>9.422796795338674E-2</v>
      </c>
      <c r="O140" s="11">
        <v>45592</v>
      </c>
      <c r="P14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41" spans="1:16" x14ac:dyDescent="0.3">
      <c r="A141" t="s">
        <v>311</v>
      </c>
      <c r="B141" t="s">
        <v>40</v>
      </c>
      <c r="C141" s="11">
        <v>45488</v>
      </c>
      <c r="D141" t="s">
        <v>49</v>
      </c>
      <c r="E141" t="s">
        <v>50</v>
      </c>
      <c r="F141">
        <v>2291</v>
      </c>
      <c r="G141">
        <v>78</v>
      </c>
      <c r="H141">
        <v>485</v>
      </c>
      <c r="I141">
        <v>18328</v>
      </c>
      <c r="J141">
        <v>18101</v>
      </c>
      <c r="K141">
        <v>10</v>
      </c>
      <c r="L141" t="s">
        <v>77</v>
      </c>
      <c r="M141" t="s">
        <v>19</v>
      </c>
      <c r="N141" s="14">
        <v>0.15571802706241816</v>
      </c>
      <c r="O141" s="11">
        <v>45487</v>
      </c>
      <c r="P14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42" spans="1:16" x14ac:dyDescent="0.3">
      <c r="A142" t="s">
        <v>313</v>
      </c>
      <c r="B142" t="s">
        <v>14</v>
      </c>
      <c r="C142" s="11">
        <v>45535</v>
      </c>
      <c r="D142" t="s">
        <v>49</v>
      </c>
      <c r="E142" t="s">
        <v>50</v>
      </c>
      <c r="F142">
        <v>3170</v>
      </c>
      <c r="G142">
        <v>857</v>
      </c>
      <c r="H142">
        <v>379</v>
      </c>
      <c r="I142">
        <v>19020</v>
      </c>
      <c r="J142">
        <v>18559</v>
      </c>
      <c r="K142">
        <v>240</v>
      </c>
      <c r="L142" t="s">
        <v>18</v>
      </c>
      <c r="M142" t="s">
        <v>38</v>
      </c>
      <c r="N142" s="14">
        <v>0.2316508937960042</v>
      </c>
      <c r="O142" s="11">
        <v>45529</v>
      </c>
      <c r="P14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43" spans="1:16" x14ac:dyDescent="0.3">
      <c r="A143" t="s">
        <v>315</v>
      </c>
      <c r="B143" t="s">
        <v>576</v>
      </c>
      <c r="C143" s="11">
        <v>45741</v>
      </c>
      <c r="D143" t="s">
        <v>33</v>
      </c>
      <c r="E143" t="s">
        <v>34</v>
      </c>
      <c r="F143">
        <v>2070</v>
      </c>
      <c r="G143">
        <v>275</v>
      </c>
      <c r="H143">
        <v>386</v>
      </c>
      <c r="I143">
        <v>39330</v>
      </c>
      <c r="J143">
        <v>38627</v>
      </c>
      <c r="K143">
        <v>114</v>
      </c>
      <c r="L143" t="s">
        <v>18</v>
      </c>
      <c r="M143" t="s">
        <v>55</v>
      </c>
      <c r="N143" s="14">
        <v>6.9438087973557078E-2</v>
      </c>
      <c r="O143" s="11">
        <v>45739</v>
      </c>
      <c r="P14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44" spans="1:16" x14ac:dyDescent="0.3">
      <c r="A144" t="s">
        <v>316</v>
      </c>
      <c r="B144" t="s">
        <v>576</v>
      </c>
      <c r="C144" s="11">
        <v>45567</v>
      </c>
      <c r="D144" t="s">
        <v>42</v>
      </c>
      <c r="E144" t="s">
        <v>43</v>
      </c>
      <c r="F144">
        <v>80</v>
      </c>
      <c r="G144">
        <v>362</v>
      </c>
      <c r="H144">
        <v>80</v>
      </c>
      <c r="I144">
        <v>1040</v>
      </c>
      <c r="J144">
        <v>349</v>
      </c>
      <c r="K144">
        <v>117</v>
      </c>
      <c r="L144" t="s">
        <v>146</v>
      </c>
      <c r="M144" t="s">
        <v>25</v>
      </c>
      <c r="N144" s="14">
        <v>0.50192307692307692</v>
      </c>
      <c r="O144" s="11">
        <v>45564</v>
      </c>
      <c r="P14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45" spans="1:16" x14ac:dyDescent="0.3">
      <c r="A145" t="s">
        <v>317</v>
      </c>
      <c r="B145" t="s">
        <v>576</v>
      </c>
      <c r="C145" s="11">
        <v>45593</v>
      </c>
      <c r="D145" t="s">
        <v>33</v>
      </c>
      <c r="E145" t="s">
        <v>34</v>
      </c>
      <c r="F145">
        <v>4929</v>
      </c>
      <c r="G145">
        <v>749</v>
      </c>
      <c r="H145">
        <v>452</v>
      </c>
      <c r="I145">
        <v>93651</v>
      </c>
      <c r="J145">
        <v>92810</v>
      </c>
      <c r="K145">
        <v>66</v>
      </c>
      <c r="L145" t="s">
        <v>214</v>
      </c>
      <c r="M145" t="s">
        <v>19</v>
      </c>
      <c r="N145" s="14">
        <v>6.5455787978772245E-2</v>
      </c>
      <c r="O145" s="11">
        <v>45592</v>
      </c>
      <c r="P14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46" spans="1:16" x14ac:dyDescent="0.3">
      <c r="A146" t="s">
        <v>318</v>
      </c>
      <c r="B146" t="s">
        <v>31</v>
      </c>
      <c r="C146" s="11">
        <v>45516</v>
      </c>
      <c r="D146" t="s">
        <v>42</v>
      </c>
      <c r="E146" t="s">
        <v>43</v>
      </c>
      <c r="F146">
        <v>1878</v>
      </c>
      <c r="G146">
        <v>62</v>
      </c>
      <c r="H146">
        <v>179</v>
      </c>
      <c r="I146">
        <v>37560</v>
      </c>
      <c r="J146">
        <v>36874</v>
      </c>
      <c r="K146">
        <v>142</v>
      </c>
      <c r="L146" t="s">
        <v>178</v>
      </c>
      <c r="M146" t="s">
        <v>19</v>
      </c>
      <c r="N146" s="14">
        <v>5.6416400425985093E-2</v>
      </c>
      <c r="O146" s="11">
        <v>45515</v>
      </c>
      <c r="P14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47" spans="1:16" x14ac:dyDescent="0.3">
      <c r="A147" t="s">
        <v>319</v>
      </c>
      <c r="B147" t="s">
        <v>576</v>
      </c>
      <c r="C147" s="11">
        <v>45448</v>
      </c>
      <c r="D147" t="s">
        <v>16</v>
      </c>
      <c r="E147" t="s">
        <v>17</v>
      </c>
      <c r="F147">
        <v>3065</v>
      </c>
      <c r="G147">
        <v>772</v>
      </c>
      <c r="H147">
        <v>142</v>
      </c>
      <c r="I147">
        <v>18390</v>
      </c>
      <c r="J147">
        <v>17875</v>
      </c>
      <c r="K147">
        <v>200</v>
      </c>
      <c r="L147" t="s">
        <v>58</v>
      </c>
      <c r="M147" t="s">
        <v>19</v>
      </c>
      <c r="N147" s="14">
        <v>0.21636759108210984</v>
      </c>
      <c r="O147" s="11">
        <v>45445</v>
      </c>
      <c r="P14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48" spans="1:16" x14ac:dyDescent="0.3">
      <c r="A148" t="s">
        <v>321</v>
      </c>
      <c r="B148" t="s">
        <v>31</v>
      </c>
      <c r="C148" s="11">
        <v>45586</v>
      </c>
      <c r="D148" t="s">
        <v>16</v>
      </c>
      <c r="E148" t="s">
        <v>17</v>
      </c>
      <c r="F148">
        <v>3256</v>
      </c>
      <c r="G148">
        <v>459</v>
      </c>
      <c r="H148">
        <v>266</v>
      </c>
      <c r="I148">
        <v>26048</v>
      </c>
      <c r="J148">
        <v>25529</v>
      </c>
      <c r="K148">
        <v>143</v>
      </c>
      <c r="L148" t="s">
        <v>82</v>
      </c>
      <c r="M148" t="s">
        <v>38</v>
      </c>
      <c r="N148" s="14">
        <v>0.15283323095823095</v>
      </c>
      <c r="O148" s="11">
        <v>45585</v>
      </c>
      <c r="P14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49" spans="1:16" x14ac:dyDescent="0.3">
      <c r="A149" t="s">
        <v>322</v>
      </c>
      <c r="B149" t="s">
        <v>31</v>
      </c>
      <c r="C149" s="11">
        <v>45762</v>
      </c>
      <c r="D149" t="s">
        <v>69</v>
      </c>
      <c r="E149" t="s">
        <v>70</v>
      </c>
      <c r="F149">
        <v>4133</v>
      </c>
      <c r="G149">
        <v>466</v>
      </c>
      <c r="H149">
        <v>327</v>
      </c>
      <c r="I149">
        <v>24798</v>
      </c>
      <c r="J149">
        <v>24620</v>
      </c>
      <c r="K149">
        <v>176</v>
      </c>
      <c r="L149" t="s">
        <v>58</v>
      </c>
      <c r="M149" t="s">
        <v>25</v>
      </c>
      <c r="N149" s="14">
        <v>0.19864505202032423</v>
      </c>
      <c r="O149" s="11">
        <v>45760</v>
      </c>
      <c r="P14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50" spans="1:16" x14ac:dyDescent="0.3">
      <c r="A150" t="s">
        <v>323</v>
      </c>
      <c r="B150" t="s">
        <v>14</v>
      </c>
      <c r="C150" s="11">
        <v>45459</v>
      </c>
      <c r="D150" t="s">
        <v>69</v>
      </c>
      <c r="E150" t="s">
        <v>70</v>
      </c>
      <c r="F150">
        <v>1702</v>
      </c>
      <c r="G150">
        <v>750</v>
      </c>
      <c r="H150">
        <v>179</v>
      </c>
      <c r="I150">
        <v>34040</v>
      </c>
      <c r="J150">
        <v>33174</v>
      </c>
      <c r="K150">
        <v>76</v>
      </c>
      <c r="L150" t="s">
        <v>44</v>
      </c>
      <c r="M150" t="s">
        <v>38</v>
      </c>
      <c r="N150" s="14">
        <v>7.7291421856639245E-2</v>
      </c>
      <c r="O150" s="11">
        <v>45459</v>
      </c>
      <c r="P15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51" spans="1:16" x14ac:dyDescent="0.3">
      <c r="A151" t="s">
        <v>325</v>
      </c>
      <c r="B151" t="s">
        <v>576</v>
      </c>
      <c r="C151" s="11">
        <v>45526</v>
      </c>
      <c r="D151" t="s">
        <v>42</v>
      </c>
      <c r="E151" t="s">
        <v>43</v>
      </c>
      <c r="F151">
        <v>4295</v>
      </c>
      <c r="G151">
        <v>853</v>
      </c>
      <c r="H151">
        <v>325</v>
      </c>
      <c r="I151">
        <v>85900</v>
      </c>
      <c r="J151">
        <v>85788</v>
      </c>
      <c r="K151">
        <v>290</v>
      </c>
      <c r="L151" t="s">
        <v>209</v>
      </c>
      <c r="M151" t="s">
        <v>25</v>
      </c>
      <c r="N151" s="14">
        <v>6.3713620488940623E-2</v>
      </c>
      <c r="O151" s="11">
        <v>45522</v>
      </c>
      <c r="P15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52" spans="1:16" x14ac:dyDescent="0.3">
      <c r="A152" t="s">
        <v>327</v>
      </c>
      <c r="B152" t="s">
        <v>31</v>
      </c>
      <c r="C152" s="11">
        <v>45499</v>
      </c>
      <c r="D152" t="s">
        <v>49</v>
      </c>
      <c r="E152" t="s">
        <v>50</v>
      </c>
      <c r="F152">
        <v>3559</v>
      </c>
      <c r="G152">
        <v>59</v>
      </c>
      <c r="H152">
        <v>289</v>
      </c>
      <c r="I152">
        <v>35590</v>
      </c>
      <c r="J152">
        <v>35105</v>
      </c>
      <c r="K152">
        <v>122</v>
      </c>
      <c r="L152" t="s">
        <v>214</v>
      </c>
      <c r="M152" t="s">
        <v>38</v>
      </c>
      <c r="N152" s="14">
        <v>0.10977802753582468</v>
      </c>
      <c r="O152" s="11">
        <v>45494</v>
      </c>
      <c r="P15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53" spans="1:16" x14ac:dyDescent="0.3">
      <c r="A153" t="s">
        <v>328</v>
      </c>
      <c r="B153" t="s">
        <v>40</v>
      </c>
      <c r="C153" s="11">
        <v>45769</v>
      </c>
      <c r="D153" t="s">
        <v>49</v>
      </c>
      <c r="E153" t="s">
        <v>50</v>
      </c>
      <c r="F153">
        <v>4804</v>
      </c>
      <c r="G153">
        <v>550</v>
      </c>
      <c r="H153">
        <v>270</v>
      </c>
      <c r="I153">
        <v>28824</v>
      </c>
      <c r="J153">
        <v>28370</v>
      </c>
      <c r="K153">
        <v>47</v>
      </c>
      <c r="L153" t="s">
        <v>82</v>
      </c>
      <c r="M153" t="s">
        <v>55</v>
      </c>
      <c r="N153" s="14">
        <v>0.19511518179295032</v>
      </c>
      <c r="O153" s="11">
        <v>45767</v>
      </c>
      <c r="P15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54" spans="1:16" x14ac:dyDescent="0.3">
      <c r="A154" t="s">
        <v>330</v>
      </c>
      <c r="B154" t="s">
        <v>14</v>
      </c>
      <c r="C154" s="11">
        <v>45658</v>
      </c>
      <c r="D154" t="s">
        <v>69</v>
      </c>
      <c r="E154" t="s">
        <v>70</v>
      </c>
      <c r="F154">
        <v>754</v>
      </c>
      <c r="G154">
        <v>197</v>
      </c>
      <c r="H154">
        <v>257</v>
      </c>
      <c r="I154">
        <v>6786</v>
      </c>
      <c r="J154">
        <v>6221</v>
      </c>
      <c r="K154">
        <v>212</v>
      </c>
      <c r="L154" t="s">
        <v>178</v>
      </c>
      <c r="M154" t="s">
        <v>38</v>
      </c>
      <c r="N154" s="14">
        <v>0.17801355732390214</v>
      </c>
      <c r="O154" s="11">
        <v>45655</v>
      </c>
      <c r="P15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55" spans="1:16" x14ac:dyDescent="0.3">
      <c r="A155" t="s">
        <v>332</v>
      </c>
      <c r="B155" t="s">
        <v>31</v>
      </c>
      <c r="C155" s="11">
        <v>45574</v>
      </c>
      <c r="D155" t="s">
        <v>42</v>
      </c>
      <c r="E155" t="s">
        <v>43</v>
      </c>
      <c r="F155">
        <v>985</v>
      </c>
      <c r="G155">
        <v>932</v>
      </c>
      <c r="H155">
        <v>287</v>
      </c>
      <c r="I155">
        <v>6895</v>
      </c>
      <c r="J155">
        <v>6757</v>
      </c>
      <c r="K155">
        <v>64</v>
      </c>
      <c r="L155" t="s">
        <v>66</v>
      </c>
      <c r="M155" t="s">
        <v>25</v>
      </c>
      <c r="N155" s="14">
        <v>0.31965192168237855</v>
      </c>
      <c r="O155" s="11">
        <v>45571</v>
      </c>
      <c r="P15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56" spans="1:16" x14ac:dyDescent="0.3">
      <c r="A156" t="s">
        <v>333</v>
      </c>
      <c r="B156" t="s">
        <v>576</v>
      </c>
      <c r="C156" s="11">
        <v>45647</v>
      </c>
      <c r="D156" t="s">
        <v>49</v>
      </c>
      <c r="E156" t="s">
        <v>50</v>
      </c>
      <c r="F156">
        <v>2283</v>
      </c>
      <c r="G156">
        <v>210</v>
      </c>
      <c r="H156">
        <v>130</v>
      </c>
      <c r="I156">
        <v>22830</v>
      </c>
      <c r="J156">
        <v>22617</v>
      </c>
      <c r="K156">
        <v>143</v>
      </c>
      <c r="L156" t="s">
        <v>146</v>
      </c>
      <c r="M156" t="s">
        <v>38</v>
      </c>
      <c r="N156" s="14">
        <v>0.11489268506351293</v>
      </c>
      <c r="O156" s="11">
        <v>45641</v>
      </c>
      <c r="P15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57" spans="1:16" x14ac:dyDescent="0.3">
      <c r="A157" t="s">
        <v>335</v>
      </c>
      <c r="B157" t="s">
        <v>40</v>
      </c>
      <c r="C157" s="11">
        <v>45587</v>
      </c>
      <c r="D157" t="s">
        <v>42</v>
      </c>
      <c r="E157" t="s">
        <v>43</v>
      </c>
      <c r="F157">
        <v>3352</v>
      </c>
      <c r="G157">
        <v>941</v>
      </c>
      <c r="H157">
        <v>482</v>
      </c>
      <c r="I157">
        <v>43576</v>
      </c>
      <c r="J157">
        <v>43338</v>
      </c>
      <c r="K157">
        <v>240</v>
      </c>
      <c r="L157" t="s">
        <v>44</v>
      </c>
      <c r="M157" t="s">
        <v>38</v>
      </c>
      <c r="N157" s="14">
        <v>0.1095786671562328</v>
      </c>
      <c r="O157" s="11">
        <v>45585</v>
      </c>
      <c r="P15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58" spans="1:16" x14ac:dyDescent="0.3">
      <c r="A158" t="s">
        <v>337</v>
      </c>
      <c r="B158" t="s">
        <v>576</v>
      </c>
      <c r="C158" s="11">
        <v>45496</v>
      </c>
      <c r="D158" t="s">
        <v>33</v>
      </c>
      <c r="E158" t="s">
        <v>34</v>
      </c>
      <c r="F158">
        <v>4775</v>
      </c>
      <c r="G158">
        <v>173</v>
      </c>
      <c r="H158">
        <v>206</v>
      </c>
      <c r="I158">
        <v>47750</v>
      </c>
      <c r="J158">
        <v>47544</v>
      </c>
      <c r="K158">
        <v>187</v>
      </c>
      <c r="L158" t="s">
        <v>87</v>
      </c>
      <c r="M158" t="s">
        <v>55</v>
      </c>
      <c r="N158" s="14">
        <v>0.10793717277486911</v>
      </c>
      <c r="O158" s="11">
        <v>45494</v>
      </c>
      <c r="P15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59" spans="1:16" x14ac:dyDescent="0.3">
      <c r="A159" t="s">
        <v>339</v>
      </c>
      <c r="B159" t="s">
        <v>31</v>
      </c>
      <c r="C159" s="11">
        <v>45515</v>
      </c>
      <c r="D159" t="s">
        <v>33</v>
      </c>
      <c r="E159" t="s">
        <v>34</v>
      </c>
      <c r="F159">
        <v>1762</v>
      </c>
      <c r="G159">
        <v>405</v>
      </c>
      <c r="H159">
        <v>423</v>
      </c>
      <c r="I159">
        <v>22906</v>
      </c>
      <c r="J159">
        <v>21925</v>
      </c>
      <c r="K159">
        <v>25</v>
      </c>
      <c r="L159" t="s">
        <v>77</v>
      </c>
      <c r="M159" t="s">
        <v>25</v>
      </c>
      <c r="N159" s="14">
        <v>0.11307081114118571</v>
      </c>
      <c r="O159" s="11">
        <v>45515</v>
      </c>
      <c r="P15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60" spans="1:16" x14ac:dyDescent="0.3">
      <c r="A160" t="s">
        <v>341</v>
      </c>
      <c r="B160" t="s">
        <v>40</v>
      </c>
      <c r="C160" s="11">
        <v>45621</v>
      </c>
      <c r="D160" t="s">
        <v>33</v>
      </c>
      <c r="E160" t="s">
        <v>34</v>
      </c>
      <c r="F160">
        <v>2120</v>
      </c>
      <c r="G160">
        <v>158</v>
      </c>
      <c r="H160">
        <v>488</v>
      </c>
      <c r="I160">
        <v>12720</v>
      </c>
      <c r="J160">
        <v>12085</v>
      </c>
      <c r="K160">
        <v>17</v>
      </c>
      <c r="L160" t="s">
        <v>87</v>
      </c>
      <c r="M160" t="s">
        <v>25</v>
      </c>
      <c r="N160" s="14">
        <v>0.21745283018867925</v>
      </c>
      <c r="O160" s="11">
        <v>45620</v>
      </c>
      <c r="P16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61" spans="1:16" x14ac:dyDescent="0.3">
      <c r="A161" t="s">
        <v>342</v>
      </c>
      <c r="B161" t="s">
        <v>14</v>
      </c>
      <c r="C161" s="11">
        <v>45528</v>
      </c>
      <c r="D161" t="s">
        <v>69</v>
      </c>
      <c r="E161" t="s">
        <v>70</v>
      </c>
      <c r="F161">
        <v>1082</v>
      </c>
      <c r="G161">
        <v>209</v>
      </c>
      <c r="H161">
        <v>484</v>
      </c>
      <c r="I161">
        <v>19476</v>
      </c>
      <c r="J161">
        <v>18654</v>
      </c>
      <c r="K161">
        <v>20</v>
      </c>
      <c r="L161" t="s">
        <v>58</v>
      </c>
      <c r="M161" t="s">
        <v>55</v>
      </c>
      <c r="N161" s="14">
        <v>9.1137810638734856E-2</v>
      </c>
      <c r="O161" s="11">
        <v>45522</v>
      </c>
      <c r="P16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62" spans="1:16" x14ac:dyDescent="0.3">
      <c r="A162" t="s">
        <v>344</v>
      </c>
      <c r="B162" t="s">
        <v>14</v>
      </c>
      <c r="C162" s="11">
        <v>45707</v>
      </c>
      <c r="D162" t="s">
        <v>22</v>
      </c>
      <c r="E162" t="s">
        <v>23</v>
      </c>
      <c r="F162">
        <v>4671</v>
      </c>
      <c r="G162">
        <v>876</v>
      </c>
      <c r="H162">
        <v>366</v>
      </c>
      <c r="I162">
        <v>51381</v>
      </c>
      <c r="J162">
        <v>50565</v>
      </c>
      <c r="K162">
        <v>245</v>
      </c>
      <c r="L162" t="s">
        <v>18</v>
      </c>
      <c r="M162" t="s">
        <v>25</v>
      </c>
      <c r="N162" s="14">
        <v>0.11508145034156594</v>
      </c>
      <c r="O162" s="11">
        <v>45704</v>
      </c>
      <c r="P16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63" spans="1:16" x14ac:dyDescent="0.3">
      <c r="A163" t="s">
        <v>346</v>
      </c>
      <c r="B163" t="s">
        <v>40</v>
      </c>
      <c r="C163" s="11">
        <v>45748</v>
      </c>
      <c r="D163" t="s">
        <v>33</v>
      </c>
      <c r="E163" t="s">
        <v>34</v>
      </c>
      <c r="F163">
        <v>3430</v>
      </c>
      <c r="G163">
        <v>566</v>
      </c>
      <c r="H163">
        <v>164</v>
      </c>
      <c r="I163">
        <v>48020</v>
      </c>
      <c r="J163">
        <v>47305</v>
      </c>
      <c r="K163">
        <v>120</v>
      </c>
      <c r="L163" t="s">
        <v>44</v>
      </c>
      <c r="M163" t="s">
        <v>25</v>
      </c>
      <c r="N163" s="14">
        <v>8.6630570595585168E-2</v>
      </c>
      <c r="O163" s="11">
        <v>45746</v>
      </c>
      <c r="P16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64" spans="1:16" x14ac:dyDescent="0.3">
      <c r="A164" t="s">
        <v>348</v>
      </c>
      <c r="B164" t="s">
        <v>31</v>
      </c>
      <c r="C164" s="11">
        <v>45755</v>
      </c>
      <c r="D164" t="s">
        <v>49</v>
      </c>
      <c r="E164" t="s">
        <v>50</v>
      </c>
      <c r="F164">
        <v>4501</v>
      </c>
      <c r="G164">
        <v>375</v>
      </c>
      <c r="H164">
        <v>323</v>
      </c>
      <c r="I164">
        <v>22505</v>
      </c>
      <c r="J164">
        <v>21836</v>
      </c>
      <c r="K164">
        <v>132</v>
      </c>
      <c r="L164" t="s">
        <v>24</v>
      </c>
      <c r="M164" t="s">
        <v>55</v>
      </c>
      <c r="N164" s="14">
        <v>0.23101532992668297</v>
      </c>
      <c r="O164" s="11">
        <v>45753</v>
      </c>
      <c r="P16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65" spans="1:16" x14ac:dyDescent="0.3">
      <c r="A165" t="s">
        <v>350</v>
      </c>
      <c r="B165" t="s">
        <v>576</v>
      </c>
      <c r="C165" s="11">
        <v>45715</v>
      </c>
      <c r="D165" t="s">
        <v>22</v>
      </c>
      <c r="E165" t="s">
        <v>23</v>
      </c>
      <c r="F165">
        <v>4934</v>
      </c>
      <c r="G165">
        <v>971</v>
      </c>
      <c r="H165">
        <v>156</v>
      </c>
      <c r="I165">
        <v>39472</v>
      </c>
      <c r="J165">
        <v>39025</v>
      </c>
      <c r="K165">
        <v>169</v>
      </c>
      <c r="L165" t="s">
        <v>264</v>
      </c>
      <c r="M165" t="s">
        <v>25</v>
      </c>
      <c r="N165" s="14">
        <v>0.15355188488042157</v>
      </c>
      <c r="O165" s="11">
        <v>45711</v>
      </c>
      <c r="P16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66" spans="1:16" x14ac:dyDescent="0.3">
      <c r="A166" t="s">
        <v>351</v>
      </c>
      <c r="B166" t="s">
        <v>14</v>
      </c>
      <c r="C166" s="11">
        <v>45637</v>
      </c>
      <c r="D166" t="s">
        <v>22</v>
      </c>
      <c r="E166" t="s">
        <v>23</v>
      </c>
      <c r="F166">
        <v>3239</v>
      </c>
      <c r="G166">
        <v>43</v>
      </c>
      <c r="H166">
        <v>211</v>
      </c>
      <c r="I166">
        <v>22673</v>
      </c>
      <c r="J166">
        <v>22171</v>
      </c>
      <c r="K166">
        <v>230</v>
      </c>
      <c r="L166" t="s">
        <v>214</v>
      </c>
      <c r="M166" t="s">
        <v>25</v>
      </c>
      <c r="N166" s="14">
        <v>0.15405989502933004</v>
      </c>
      <c r="O166" s="11">
        <v>45634</v>
      </c>
      <c r="P16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67" spans="1:16" x14ac:dyDescent="0.3">
      <c r="A167" t="s">
        <v>352</v>
      </c>
      <c r="B167" t="s">
        <v>14</v>
      </c>
      <c r="C167" s="11">
        <v>45704</v>
      </c>
      <c r="D167" t="s">
        <v>16</v>
      </c>
      <c r="E167" t="s">
        <v>17</v>
      </c>
      <c r="F167">
        <v>1076</v>
      </c>
      <c r="G167">
        <v>313</v>
      </c>
      <c r="H167">
        <v>306</v>
      </c>
      <c r="I167">
        <v>11836</v>
      </c>
      <c r="J167">
        <v>11596</v>
      </c>
      <c r="K167">
        <v>104</v>
      </c>
      <c r="L167" t="s">
        <v>77</v>
      </c>
      <c r="M167" t="s">
        <v>25</v>
      </c>
      <c r="N167" s="14">
        <v>0.14320716458262928</v>
      </c>
      <c r="O167" s="11">
        <v>45704</v>
      </c>
      <c r="P16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68" spans="1:16" x14ac:dyDescent="0.3">
      <c r="A168" t="s">
        <v>353</v>
      </c>
      <c r="B168" t="s">
        <v>31</v>
      </c>
      <c r="C168" s="11">
        <v>45624</v>
      </c>
      <c r="D168" t="s">
        <v>22</v>
      </c>
      <c r="E168" t="s">
        <v>23</v>
      </c>
      <c r="F168">
        <v>4771</v>
      </c>
      <c r="G168">
        <v>818</v>
      </c>
      <c r="H168">
        <v>56</v>
      </c>
      <c r="I168">
        <v>57252</v>
      </c>
      <c r="J168">
        <v>56378</v>
      </c>
      <c r="K168">
        <v>150</v>
      </c>
      <c r="L168" t="s">
        <v>18</v>
      </c>
      <c r="M168" t="s">
        <v>25</v>
      </c>
      <c r="N168" s="14">
        <v>9.859917557465242E-2</v>
      </c>
      <c r="O168" s="11">
        <v>45620</v>
      </c>
      <c r="P16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69" spans="1:16" x14ac:dyDescent="0.3">
      <c r="A169" t="s">
        <v>354</v>
      </c>
      <c r="B169" t="s">
        <v>40</v>
      </c>
      <c r="C169" s="11">
        <v>45608</v>
      </c>
      <c r="D169" t="s">
        <v>22</v>
      </c>
      <c r="E169" t="s">
        <v>23</v>
      </c>
      <c r="F169">
        <v>2418</v>
      </c>
      <c r="G169">
        <v>754</v>
      </c>
      <c r="H169">
        <v>54</v>
      </c>
      <c r="I169">
        <v>43524</v>
      </c>
      <c r="J169">
        <v>42743</v>
      </c>
      <c r="K169">
        <v>182</v>
      </c>
      <c r="L169" t="s">
        <v>285</v>
      </c>
      <c r="M169" t="s">
        <v>55</v>
      </c>
      <c r="N169" s="14">
        <v>7.412002573292896E-2</v>
      </c>
      <c r="O169" s="11">
        <v>45606</v>
      </c>
      <c r="P16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70" spans="1:16" x14ac:dyDescent="0.3">
      <c r="A170" t="s">
        <v>356</v>
      </c>
      <c r="B170" t="s">
        <v>576</v>
      </c>
      <c r="C170" s="11">
        <v>45629</v>
      </c>
      <c r="D170" t="s">
        <v>69</v>
      </c>
      <c r="E170" t="s">
        <v>70</v>
      </c>
      <c r="F170">
        <v>3809</v>
      </c>
      <c r="G170">
        <v>273</v>
      </c>
      <c r="H170">
        <v>200</v>
      </c>
      <c r="I170">
        <v>34281</v>
      </c>
      <c r="J170">
        <v>33534</v>
      </c>
      <c r="K170">
        <v>83</v>
      </c>
      <c r="L170" t="s">
        <v>44</v>
      </c>
      <c r="M170" t="s">
        <v>38</v>
      </c>
      <c r="N170" s="14">
        <v>0.12490884163239112</v>
      </c>
      <c r="O170" s="11">
        <v>45627</v>
      </c>
      <c r="P17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71" spans="1:16" x14ac:dyDescent="0.3">
      <c r="A171" t="s">
        <v>358</v>
      </c>
      <c r="B171" t="s">
        <v>14</v>
      </c>
      <c r="C171" s="11">
        <v>45775</v>
      </c>
      <c r="D171" t="s">
        <v>22</v>
      </c>
      <c r="E171" t="s">
        <v>23</v>
      </c>
      <c r="F171">
        <v>3577</v>
      </c>
      <c r="G171">
        <v>596</v>
      </c>
      <c r="H171">
        <v>493</v>
      </c>
      <c r="I171">
        <v>67963</v>
      </c>
      <c r="J171">
        <v>67839</v>
      </c>
      <c r="K171">
        <v>53</v>
      </c>
      <c r="L171" t="s">
        <v>87</v>
      </c>
      <c r="M171" t="s">
        <v>55</v>
      </c>
      <c r="N171" s="14">
        <v>6.8655003457763777E-2</v>
      </c>
      <c r="O171" s="11">
        <v>45774</v>
      </c>
      <c r="P17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72" spans="1:16" x14ac:dyDescent="0.3">
      <c r="A172" t="s">
        <v>360</v>
      </c>
      <c r="B172" t="s">
        <v>576</v>
      </c>
      <c r="C172" s="11">
        <v>45657</v>
      </c>
      <c r="D172" t="s">
        <v>69</v>
      </c>
      <c r="E172" t="s">
        <v>70</v>
      </c>
      <c r="F172">
        <v>1018</v>
      </c>
      <c r="G172">
        <v>447</v>
      </c>
      <c r="H172">
        <v>332</v>
      </c>
      <c r="I172">
        <v>18324</v>
      </c>
      <c r="J172">
        <v>18164</v>
      </c>
      <c r="K172">
        <v>38</v>
      </c>
      <c r="L172" t="s">
        <v>66</v>
      </c>
      <c r="M172" t="s">
        <v>55</v>
      </c>
      <c r="N172" s="14">
        <v>9.8068107400130972E-2</v>
      </c>
      <c r="O172" s="11">
        <v>45655</v>
      </c>
      <c r="P17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73" spans="1:16" x14ac:dyDescent="0.3">
      <c r="A173" t="s">
        <v>362</v>
      </c>
      <c r="B173" t="s">
        <v>40</v>
      </c>
      <c r="C173" s="11">
        <v>45518</v>
      </c>
      <c r="D173" t="s">
        <v>42</v>
      </c>
      <c r="E173" t="s">
        <v>43</v>
      </c>
      <c r="F173">
        <v>3073</v>
      </c>
      <c r="G173">
        <v>553</v>
      </c>
      <c r="H173">
        <v>174</v>
      </c>
      <c r="I173">
        <v>52241</v>
      </c>
      <c r="J173">
        <v>51605</v>
      </c>
      <c r="K173">
        <v>246</v>
      </c>
      <c r="L173" t="s">
        <v>146</v>
      </c>
      <c r="M173" t="s">
        <v>55</v>
      </c>
      <c r="N173" s="14">
        <v>7.2739802071170159E-2</v>
      </c>
      <c r="O173" s="11">
        <v>45515</v>
      </c>
      <c r="P17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74" spans="1:16" x14ac:dyDescent="0.3">
      <c r="A174" t="s">
        <v>364</v>
      </c>
      <c r="B174" t="s">
        <v>14</v>
      </c>
      <c r="C174" s="11">
        <v>45631</v>
      </c>
      <c r="D174" t="s">
        <v>69</v>
      </c>
      <c r="E174" t="s">
        <v>70</v>
      </c>
      <c r="F174">
        <v>1330</v>
      </c>
      <c r="G174">
        <v>925</v>
      </c>
      <c r="H174">
        <v>35</v>
      </c>
      <c r="I174">
        <v>15960</v>
      </c>
      <c r="J174">
        <v>15379</v>
      </c>
      <c r="K174">
        <v>229</v>
      </c>
      <c r="L174" t="s">
        <v>178</v>
      </c>
      <c r="M174" t="s">
        <v>55</v>
      </c>
      <c r="N174" s="14">
        <v>0.14348370927318296</v>
      </c>
      <c r="O174" s="11">
        <v>45627</v>
      </c>
      <c r="P17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75" spans="1:16" x14ac:dyDescent="0.3">
      <c r="A175" t="s">
        <v>366</v>
      </c>
      <c r="B175" t="s">
        <v>40</v>
      </c>
      <c r="C175" s="11">
        <v>45465</v>
      </c>
      <c r="D175" t="s">
        <v>22</v>
      </c>
      <c r="E175" t="s">
        <v>23</v>
      </c>
      <c r="F175">
        <v>3828</v>
      </c>
      <c r="G175">
        <v>148</v>
      </c>
      <c r="H175">
        <v>253</v>
      </c>
      <c r="I175">
        <v>30624</v>
      </c>
      <c r="J175">
        <v>30229</v>
      </c>
      <c r="K175">
        <v>235</v>
      </c>
      <c r="L175" t="s">
        <v>82</v>
      </c>
      <c r="M175" t="s">
        <v>55</v>
      </c>
      <c r="N175" s="14">
        <v>0.13809430512016718</v>
      </c>
      <c r="O175" s="11">
        <v>45459</v>
      </c>
      <c r="P17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76" spans="1:16" x14ac:dyDescent="0.3">
      <c r="A176" t="s">
        <v>367</v>
      </c>
      <c r="B176" t="s">
        <v>31</v>
      </c>
      <c r="C176" s="11">
        <v>45674</v>
      </c>
      <c r="D176" t="s">
        <v>16</v>
      </c>
      <c r="E176" t="s">
        <v>17</v>
      </c>
      <c r="F176">
        <v>142</v>
      </c>
      <c r="G176">
        <v>784</v>
      </c>
      <c r="H176">
        <v>183</v>
      </c>
      <c r="I176">
        <v>1704</v>
      </c>
      <c r="J176">
        <v>995</v>
      </c>
      <c r="K176">
        <v>154</v>
      </c>
      <c r="L176" t="s">
        <v>18</v>
      </c>
      <c r="M176" t="s">
        <v>19</v>
      </c>
      <c r="N176" s="14">
        <v>0.6508215962441315</v>
      </c>
      <c r="O176" s="11">
        <v>45669</v>
      </c>
      <c r="P17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77" spans="1:16" x14ac:dyDescent="0.3">
      <c r="A177" t="s">
        <v>369</v>
      </c>
      <c r="B177" t="s">
        <v>40</v>
      </c>
      <c r="C177" s="11">
        <v>45463</v>
      </c>
      <c r="D177" t="s">
        <v>69</v>
      </c>
      <c r="E177" t="s">
        <v>70</v>
      </c>
      <c r="F177">
        <v>3798</v>
      </c>
      <c r="G177">
        <v>31</v>
      </c>
      <c r="H177">
        <v>279</v>
      </c>
      <c r="I177">
        <v>75960</v>
      </c>
      <c r="J177">
        <v>75813</v>
      </c>
      <c r="K177">
        <v>266</v>
      </c>
      <c r="L177" t="s">
        <v>24</v>
      </c>
      <c r="M177" t="s">
        <v>25</v>
      </c>
      <c r="N177" s="14">
        <v>5.4081095313322801E-2</v>
      </c>
      <c r="O177" s="11">
        <v>45459</v>
      </c>
      <c r="P17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78" spans="1:16" x14ac:dyDescent="0.3">
      <c r="A178" t="s">
        <v>371</v>
      </c>
      <c r="B178" t="s">
        <v>31</v>
      </c>
      <c r="C178" s="11">
        <v>45483</v>
      </c>
      <c r="D178" t="s">
        <v>42</v>
      </c>
      <c r="E178" t="s">
        <v>43</v>
      </c>
      <c r="F178">
        <v>3099</v>
      </c>
      <c r="G178">
        <v>694</v>
      </c>
      <c r="H178">
        <v>171</v>
      </c>
      <c r="I178">
        <v>43386</v>
      </c>
      <c r="J178">
        <v>42921</v>
      </c>
      <c r="K178">
        <v>52</v>
      </c>
      <c r="L178" t="s">
        <v>77</v>
      </c>
      <c r="M178" t="s">
        <v>55</v>
      </c>
      <c r="N178" s="14">
        <v>9.1365878393951966E-2</v>
      </c>
      <c r="O178" s="11">
        <v>45480</v>
      </c>
      <c r="P17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79" spans="1:16" x14ac:dyDescent="0.3">
      <c r="A179" t="s">
        <v>373</v>
      </c>
      <c r="B179" t="s">
        <v>31</v>
      </c>
      <c r="C179" s="11">
        <v>45603</v>
      </c>
      <c r="D179" t="s">
        <v>69</v>
      </c>
      <c r="E179" t="s">
        <v>70</v>
      </c>
      <c r="F179">
        <v>129</v>
      </c>
      <c r="G179">
        <v>643</v>
      </c>
      <c r="H179">
        <v>136</v>
      </c>
      <c r="I179">
        <v>1290</v>
      </c>
      <c r="J179">
        <v>839</v>
      </c>
      <c r="K179">
        <v>238</v>
      </c>
      <c r="L179" t="s">
        <v>162</v>
      </c>
      <c r="M179" t="s">
        <v>55</v>
      </c>
      <c r="N179" s="14">
        <v>0.70387596899224802</v>
      </c>
      <c r="O179" s="11">
        <v>45599</v>
      </c>
      <c r="P17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80" spans="1:16" x14ac:dyDescent="0.3">
      <c r="A180" t="s">
        <v>374</v>
      </c>
      <c r="B180" t="s">
        <v>40</v>
      </c>
      <c r="C180" s="11">
        <v>45488</v>
      </c>
      <c r="D180" t="s">
        <v>42</v>
      </c>
      <c r="E180" t="s">
        <v>43</v>
      </c>
      <c r="F180">
        <v>3796</v>
      </c>
      <c r="G180">
        <v>667</v>
      </c>
      <c r="H180">
        <v>395</v>
      </c>
      <c r="I180">
        <v>64532</v>
      </c>
      <c r="J180">
        <v>63550</v>
      </c>
      <c r="K180">
        <v>292</v>
      </c>
      <c r="L180" t="s">
        <v>58</v>
      </c>
      <c r="M180" t="s">
        <v>19</v>
      </c>
      <c r="N180" s="14">
        <v>7.5280481001673588E-2</v>
      </c>
      <c r="O180" s="11">
        <v>45487</v>
      </c>
      <c r="P18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81" spans="1:16" x14ac:dyDescent="0.3">
      <c r="A181" t="s">
        <v>375</v>
      </c>
      <c r="B181" t="s">
        <v>576</v>
      </c>
      <c r="C181" s="11">
        <v>45629</v>
      </c>
      <c r="D181" t="s">
        <v>22</v>
      </c>
      <c r="E181" t="s">
        <v>23</v>
      </c>
      <c r="F181">
        <v>3711</v>
      </c>
      <c r="G181">
        <v>352</v>
      </c>
      <c r="H181">
        <v>290</v>
      </c>
      <c r="I181">
        <v>48243</v>
      </c>
      <c r="J181">
        <v>47579</v>
      </c>
      <c r="K181">
        <v>11</v>
      </c>
      <c r="L181" t="s">
        <v>162</v>
      </c>
      <c r="M181" t="s">
        <v>55</v>
      </c>
      <c r="N181" s="14">
        <v>9.023070704558174E-2</v>
      </c>
      <c r="O181" s="11">
        <v>45627</v>
      </c>
      <c r="P18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82" spans="1:16" x14ac:dyDescent="0.3">
      <c r="A182" t="s">
        <v>376</v>
      </c>
      <c r="B182" t="s">
        <v>576</v>
      </c>
      <c r="C182" s="11">
        <v>45737</v>
      </c>
      <c r="D182" t="s">
        <v>49</v>
      </c>
      <c r="E182" t="s">
        <v>50</v>
      </c>
      <c r="F182">
        <v>606</v>
      </c>
      <c r="G182">
        <v>789</v>
      </c>
      <c r="H182">
        <v>470</v>
      </c>
      <c r="I182">
        <v>7878</v>
      </c>
      <c r="J182">
        <v>7389</v>
      </c>
      <c r="K182">
        <v>239</v>
      </c>
      <c r="L182" t="s">
        <v>18</v>
      </c>
      <c r="M182" t="s">
        <v>25</v>
      </c>
      <c r="N182" s="14">
        <v>0.23673521198273673</v>
      </c>
      <c r="O182" s="11">
        <v>45732</v>
      </c>
      <c r="P18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83" spans="1:16" x14ac:dyDescent="0.3">
      <c r="A183" t="s">
        <v>378</v>
      </c>
      <c r="B183" t="s">
        <v>40</v>
      </c>
      <c r="C183" s="11">
        <v>45504</v>
      </c>
      <c r="D183" t="s">
        <v>49</v>
      </c>
      <c r="E183" t="s">
        <v>50</v>
      </c>
      <c r="F183">
        <v>4689</v>
      </c>
      <c r="G183">
        <v>134</v>
      </c>
      <c r="H183">
        <v>403</v>
      </c>
      <c r="I183">
        <v>51579</v>
      </c>
      <c r="J183">
        <v>50924</v>
      </c>
      <c r="K183">
        <v>173</v>
      </c>
      <c r="L183" t="s">
        <v>77</v>
      </c>
      <c r="M183" t="s">
        <v>19</v>
      </c>
      <c r="N183" s="14">
        <v>0.10132030477519921</v>
      </c>
      <c r="O183" s="11">
        <v>45501</v>
      </c>
      <c r="P18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84" spans="1:16" x14ac:dyDescent="0.3">
      <c r="A184" t="s">
        <v>379</v>
      </c>
      <c r="B184" t="s">
        <v>31</v>
      </c>
      <c r="C184" s="11">
        <v>45643</v>
      </c>
      <c r="D184" t="s">
        <v>33</v>
      </c>
      <c r="E184" t="s">
        <v>34</v>
      </c>
      <c r="F184">
        <v>360</v>
      </c>
      <c r="G184">
        <v>590</v>
      </c>
      <c r="H184">
        <v>393</v>
      </c>
      <c r="I184">
        <v>4680</v>
      </c>
      <c r="J184">
        <v>4322</v>
      </c>
      <c r="K184">
        <v>208</v>
      </c>
      <c r="L184" t="s">
        <v>162</v>
      </c>
      <c r="M184" t="s">
        <v>25</v>
      </c>
      <c r="N184" s="14">
        <v>0.28696581196581195</v>
      </c>
      <c r="O184" s="11">
        <v>45641</v>
      </c>
      <c r="P18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85" spans="1:16" x14ac:dyDescent="0.3">
      <c r="A185" t="s">
        <v>381</v>
      </c>
      <c r="B185" t="s">
        <v>14</v>
      </c>
      <c r="C185" s="11">
        <v>45501</v>
      </c>
      <c r="D185" t="s">
        <v>49</v>
      </c>
      <c r="E185" t="s">
        <v>50</v>
      </c>
      <c r="F185">
        <v>3215</v>
      </c>
      <c r="G185">
        <v>960</v>
      </c>
      <c r="H185">
        <v>202</v>
      </c>
      <c r="I185">
        <v>32150</v>
      </c>
      <c r="J185">
        <v>31404</v>
      </c>
      <c r="K185">
        <v>251</v>
      </c>
      <c r="L185" t="s">
        <v>58</v>
      </c>
      <c r="M185" t="s">
        <v>38</v>
      </c>
      <c r="N185" s="14">
        <v>0.13614307931570763</v>
      </c>
      <c r="O185" s="11">
        <v>45501</v>
      </c>
      <c r="P18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86" spans="1:16" x14ac:dyDescent="0.3">
      <c r="A186" t="s">
        <v>383</v>
      </c>
      <c r="B186" t="s">
        <v>31</v>
      </c>
      <c r="C186" s="11">
        <v>45668</v>
      </c>
      <c r="D186" t="s">
        <v>42</v>
      </c>
      <c r="E186" t="s">
        <v>43</v>
      </c>
      <c r="F186">
        <v>4523</v>
      </c>
      <c r="G186">
        <v>61</v>
      </c>
      <c r="H186">
        <v>157</v>
      </c>
      <c r="I186">
        <v>49753</v>
      </c>
      <c r="J186">
        <v>49329</v>
      </c>
      <c r="K186">
        <v>71</v>
      </c>
      <c r="L186" t="s">
        <v>102</v>
      </c>
      <c r="M186" t="s">
        <v>55</v>
      </c>
      <c r="N186" s="14">
        <v>9.5290736237010829E-2</v>
      </c>
      <c r="O186" s="11">
        <v>45662</v>
      </c>
      <c r="P18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87" spans="1:16" x14ac:dyDescent="0.3">
      <c r="A187" t="s">
        <v>385</v>
      </c>
      <c r="B187" t="s">
        <v>40</v>
      </c>
      <c r="C187" s="11">
        <v>45528</v>
      </c>
      <c r="D187" t="s">
        <v>42</v>
      </c>
      <c r="E187" t="s">
        <v>43</v>
      </c>
      <c r="F187">
        <v>4292</v>
      </c>
      <c r="G187">
        <v>51</v>
      </c>
      <c r="H187">
        <v>392</v>
      </c>
      <c r="I187">
        <v>55796</v>
      </c>
      <c r="J187">
        <v>54826</v>
      </c>
      <c r="K187">
        <v>264</v>
      </c>
      <c r="L187" t="s">
        <v>214</v>
      </c>
      <c r="M187" t="s">
        <v>19</v>
      </c>
      <c r="N187" s="14">
        <v>8.4862714173059003E-2</v>
      </c>
      <c r="O187" s="11">
        <v>45522</v>
      </c>
      <c r="P18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88" spans="1:16" x14ac:dyDescent="0.3">
      <c r="A188" t="s">
        <v>386</v>
      </c>
      <c r="B188" t="s">
        <v>14</v>
      </c>
      <c r="C188" s="11">
        <v>45648</v>
      </c>
      <c r="D188" t="s">
        <v>16</v>
      </c>
      <c r="E188" t="s">
        <v>17</v>
      </c>
      <c r="F188">
        <v>1644</v>
      </c>
      <c r="G188">
        <v>546</v>
      </c>
      <c r="H188">
        <v>150</v>
      </c>
      <c r="I188">
        <v>27948</v>
      </c>
      <c r="J188">
        <v>27184</v>
      </c>
      <c r="K188">
        <v>300</v>
      </c>
      <c r="L188" t="s">
        <v>102</v>
      </c>
      <c r="M188" t="s">
        <v>19</v>
      </c>
      <c r="N188" s="14">
        <v>8.3726921425504502E-2</v>
      </c>
      <c r="O188" s="11">
        <v>45648</v>
      </c>
      <c r="P18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89" spans="1:16" x14ac:dyDescent="0.3">
      <c r="A189" t="s">
        <v>388</v>
      </c>
      <c r="B189" t="s">
        <v>576</v>
      </c>
      <c r="C189" s="11">
        <v>45449</v>
      </c>
      <c r="D189" t="s">
        <v>16</v>
      </c>
      <c r="E189" t="s">
        <v>17</v>
      </c>
      <c r="F189">
        <v>2728</v>
      </c>
      <c r="G189">
        <v>533</v>
      </c>
      <c r="H189">
        <v>215</v>
      </c>
      <c r="I189">
        <v>40920</v>
      </c>
      <c r="J189">
        <v>40816</v>
      </c>
      <c r="K189">
        <v>137</v>
      </c>
      <c r="L189" t="s">
        <v>18</v>
      </c>
      <c r="M189" t="s">
        <v>25</v>
      </c>
      <c r="N189" s="14">
        <v>8.4946236559139784E-2</v>
      </c>
      <c r="O189" s="11">
        <v>45445</v>
      </c>
      <c r="P18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90" spans="1:16" x14ac:dyDescent="0.3">
      <c r="A190" t="s">
        <v>389</v>
      </c>
      <c r="B190" t="s">
        <v>40</v>
      </c>
      <c r="C190" s="11">
        <v>45740</v>
      </c>
      <c r="D190" t="s">
        <v>16</v>
      </c>
      <c r="E190" t="s">
        <v>17</v>
      </c>
      <c r="F190">
        <v>3360</v>
      </c>
      <c r="G190">
        <v>525</v>
      </c>
      <c r="H190">
        <v>500</v>
      </c>
      <c r="I190">
        <v>60480</v>
      </c>
      <c r="J190">
        <v>59610</v>
      </c>
      <c r="K190">
        <v>192</v>
      </c>
      <c r="L190" t="s">
        <v>82</v>
      </c>
      <c r="M190" t="s">
        <v>19</v>
      </c>
      <c r="N190" s="14">
        <v>7.2503306878306875E-2</v>
      </c>
      <c r="O190" s="11">
        <v>45739</v>
      </c>
      <c r="P19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91" spans="1:16" x14ac:dyDescent="0.3">
      <c r="A191" t="s">
        <v>390</v>
      </c>
      <c r="B191" t="s">
        <v>576</v>
      </c>
      <c r="C191" s="11">
        <v>45569</v>
      </c>
      <c r="D191" t="s">
        <v>22</v>
      </c>
      <c r="E191" t="s">
        <v>23</v>
      </c>
      <c r="F191">
        <v>1963</v>
      </c>
      <c r="G191">
        <v>213</v>
      </c>
      <c r="H191">
        <v>19</v>
      </c>
      <c r="I191">
        <v>39260</v>
      </c>
      <c r="J191">
        <v>38771</v>
      </c>
      <c r="K191">
        <v>145</v>
      </c>
      <c r="L191" t="s">
        <v>58</v>
      </c>
      <c r="M191" t="s">
        <v>19</v>
      </c>
      <c r="N191" s="14">
        <v>5.5909322465613857E-2</v>
      </c>
      <c r="O191" s="11">
        <v>45564</v>
      </c>
      <c r="P19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92" spans="1:16" x14ac:dyDescent="0.3">
      <c r="A192" t="s">
        <v>392</v>
      </c>
      <c r="B192" t="s">
        <v>576</v>
      </c>
      <c r="C192" s="11">
        <v>45629</v>
      </c>
      <c r="D192" t="s">
        <v>33</v>
      </c>
      <c r="E192" t="s">
        <v>34</v>
      </c>
      <c r="F192">
        <v>4285</v>
      </c>
      <c r="G192">
        <v>886</v>
      </c>
      <c r="H192">
        <v>376</v>
      </c>
      <c r="I192">
        <v>55705</v>
      </c>
      <c r="J192">
        <v>55556</v>
      </c>
      <c r="K192">
        <v>51</v>
      </c>
      <c r="L192" t="s">
        <v>71</v>
      </c>
      <c r="M192" t="s">
        <v>55</v>
      </c>
      <c r="N192" s="14">
        <v>9.9578134817341346E-2</v>
      </c>
      <c r="O192" s="11">
        <v>45627</v>
      </c>
      <c r="P19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93" spans="1:16" x14ac:dyDescent="0.3">
      <c r="A193" t="s">
        <v>393</v>
      </c>
      <c r="B193" t="s">
        <v>31</v>
      </c>
      <c r="C193" s="11">
        <v>45625</v>
      </c>
      <c r="D193" t="s">
        <v>69</v>
      </c>
      <c r="E193" t="s">
        <v>70</v>
      </c>
      <c r="F193">
        <v>1176</v>
      </c>
      <c r="G193">
        <v>464</v>
      </c>
      <c r="H193">
        <v>394</v>
      </c>
      <c r="I193">
        <v>14112</v>
      </c>
      <c r="J193">
        <v>13588</v>
      </c>
      <c r="K193">
        <v>272</v>
      </c>
      <c r="L193" t="s">
        <v>77</v>
      </c>
      <c r="M193" t="s">
        <v>19</v>
      </c>
      <c r="N193" s="14">
        <v>0.1441326530612245</v>
      </c>
      <c r="O193" s="11">
        <v>45620</v>
      </c>
      <c r="P19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194" spans="1:16" x14ac:dyDescent="0.3">
      <c r="A194" t="s">
        <v>395</v>
      </c>
      <c r="B194" t="s">
        <v>14</v>
      </c>
      <c r="C194" s="11">
        <v>45546</v>
      </c>
      <c r="D194" t="s">
        <v>49</v>
      </c>
      <c r="E194" t="s">
        <v>50</v>
      </c>
      <c r="F194">
        <v>4858</v>
      </c>
      <c r="G194">
        <v>317</v>
      </c>
      <c r="H194">
        <v>129</v>
      </c>
      <c r="I194">
        <v>53438</v>
      </c>
      <c r="J194">
        <v>52687</v>
      </c>
      <c r="K194">
        <v>223</v>
      </c>
      <c r="L194" t="s">
        <v>178</v>
      </c>
      <c r="M194" t="s">
        <v>19</v>
      </c>
      <c r="N194" s="14">
        <v>9.9255211647142488E-2</v>
      </c>
      <c r="O194" s="11">
        <v>45543</v>
      </c>
      <c r="P19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95" spans="1:16" x14ac:dyDescent="0.3">
      <c r="A195" t="s">
        <v>397</v>
      </c>
      <c r="B195" t="s">
        <v>576</v>
      </c>
      <c r="C195" s="11">
        <v>45567</v>
      </c>
      <c r="D195" t="s">
        <v>33</v>
      </c>
      <c r="E195" t="s">
        <v>34</v>
      </c>
      <c r="F195">
        <v>4350</v>
      </c>
      <c r="G195">
        <v>771</v>
      </c>
      <c r="H195">
        <v>7</v>
      </c>
      <c r="I195">
        <v>60900</v>
      </c>
      <c r="J195">
        <v>60592</v>
      </c>
      <c r="K195">
        <v>195</v>
      </c>
      <c r="L195" t="s">
        <v>264</v>
      </c>
      <c r="M195" t="s">
        <v>25</v>
      </c>
      <c r="N195" s="14">
        <v>8.4203612479474554E-2</v>
      </c>
      <c r="O195" s="11">
        <v>45564</v>
      </c>
      <c r="P19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96" spans="1:16" x14ac:dyDescent="0.3">
      <c r="A196" t="s">
        <v>398</v>
      </c>
      <c r="B196" t="s">
        <v>31</v>
      </c>
      <c r="C196" s="11">
        <v>45519</v>
      </c>
      <c r="D196" t="s">
        <v>42</v>
      </c>
      <c r="E196" t="s">
        <v>43</v>
      </c>
      <c r="F196">
        <v>914</v>
      </c>
      <c r="G196">
        <v>464</v>
      </c>
      <c r="H196">
        <v>246</v>
      </c>
      <c r="I196">
        <v>11882</v>
      </c>
      <c r="J196">
        <v>11500</v>
      </c>
      <c r="K196">
        <v>282</v>
      </c>
      <c r="L196" t="s">
        <v>285</v>
      </c>
      <c r="M196" t="s">
        <v>38</v>
      </c>
      <c r="N196" s="14">
        <v>0.13667732704931829</v>
      </c>
      <c r="O196" s="11">
        <v>45515</v>
      </c>
      <c r="P19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97" spans="1:16" x14ac:dyDescent="0.3">
      <c r="A197" t="s">
        <v>400</v>
      </c>
      <c r="B197" t="s">
        <v>31</v>
      </c>
      <c r="C197" s="11">
        <v>45645</v>
      </c>
      <c r="D197" t="s">
        <v>22</v>
      </c>
      <c r="E197" t="s">
        <v>23</v>
      </c>
      <c r="F197">
        <v>1813</v>
      </c>
      <c r="G197">
        <v>623</v>
      </c>
      <c r="H197">
        <v>72</v>
      </c>
      <c r="I197">
        <v>19943</v>
      </c>
      <c r="J197">
        <v>18959</v>
      </c>
      <c r="K197">
        <v>85</v>
      </c>
      <c r="L197" t="s">
        <v>105</v>
      </c>
      <c r="M197" t="s">
        <v>38</v>
      </c>
      <c r="N197" s="14">
        <v>0.12575841147269717</v>
      </c>
      <c r="O197" s="11">
        <v>45641</v>
      </c>
      <c r="P19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198" spans="1:16" x14ac:dyDescent="0.3">
      <c r="A198" t="s">
        <v>402</v>
      </c>
      <c r="B198" t="s">
        <v>14</v>
      </c>
      <c r="C198" s="11">
        <v>45587</v>
      </c>
      <c r="D198" t="s">
        <v>16</v>
      </c>
      <c r="E198" t="s">
        <v>17</v>
      </c>
      <c r="F198">
        <v>4782</v>
      </c>
      <c r="G198">
        <v>721</v>
      </c>
      <c r="H198">
        <v>82</v>
      </c>
      <c r="I198">
        <v>86076</v>
      </c>
      <c r="J198">
        <v>85339</v>
      </c>
      <c r="K198">
        <v>19</v>
      </c>
      <c r="L198" t="s">
        <v>77</v>
      </c>
      <c r="M198" t="s">
        <v>25</v>
      </c>
      <c r="N198" s="14">
        <v>6.4884520656164318E-2</v>
      </c>
      <c r="O198" s="11">
        <v>45585</v>
      </c>
      <c r="P19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199" spans="1:16" x14ac:dyDescent="0.3">
      <c r="A199" t="s">
        <v>403</v>
      </c>
      <c r="B199" t="s">
        <v>14</v>
      </c>
      <c r="C199" s="11">
        <v>45549</v>
      </c>
      <c r="D199" t="s">
        <v>49</v>
      </c>
      <c r="E199" t="s">
        <v>50</v>
      </c>
      <c r="F199">
        <v>1048</v>
      </c>
      <c r="G199">
        <v>374</v>
      </c>
      <c r="H199">
        <v>450</v>
      </c>
      <c r="I199">
        <v>9432</v>
      </c>
      <c r="J199">
        <v>8882</v>
      </c>
      <c r="K199">
        <v>158</v>
      </c>
      <c r="L199" t="s">
        <v>209</v>
      </c>
      <c r="M199" t="s">
        <v>25</v>
      </c>
      <c r="N199" s="14">
        <v>0.19847328244274809</v>
      </c>
      <c r="O199" s="11">
        <v>45543</v>
      </c>
      <c r="P19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00" spans="1:16" x14ac:dyDescent="0.3">
      <c r="A200" t="s">
        <v>405</v>
      </c>
      <c r="B200" t="s">
        <v>576</v>
      </c>
      <c r="C200" s="11">
        <v>45626</v>
      </c>
      <c r="D200" t="s">
        <v>42</v>
      </c>
      <c r="E200" t="s">
        <v>43</v>
      </c>
      <c r="F200">
        <v>2509</v>
      </c>
      <c r="G200">
        <v>324</v>
      </c>
      <c r="H200">
        <v>171</v>
      </c>
      <c r="I200">
        <v>35126</v>
      </c>
      <c r="J200">
        <v>34685</v>
      </c>
      <c r="K200">
        <v>277</v>
      </c>
      <c r="L200" t="s">
        <v>77</v>
      </c>
      <c r="M200" t="s">
        <v>25</v>
      </c>
      <c r="N200" s="14">
        <v>8.5520696919660646E-2</v>
      </c>
      <c r="O200" s="11">
        <v>45620</v>
      </c>
      <c r="P20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01" spans="1:16" x14ac:dyDescent="0.3">
      <c r="A201" t="s">
        <v>406</v>
      </c>
      <c r="B201" t="s">
        <v>40</v>
      </c>
      <c r="C201" s="11">
        <v>45754</v>
      </c>
      <c r="D201" t="s">
        <v>16</v>
      </c>
      <c r="E201" t="s">
        <v>17</v>
      </c>
      <c r="F201">
        <v>3718</v>
      </c>
      <c r="G201">
        <v>385</v>
      </c>
      <c r="H201">
        <v>310</v>
      </c>
      <c r="I201">
        <v>70642</v>
      </c>
      <c r="J201">
        <v>69749</v>
      </c>
      <c r="K201">
        <v>233</v>
      </c>
      <c r="L201" t="s">
        <v>44</v>
      </c>
      <c r="M201" t="s">
        <v>19</v>
      </c>
      <c r="N201" s="14">
        <v>6.246991874522239E-2</v>
      </c>
      <c r="O201" s="11">
        <v>45753</v>
      </c>
      <c r="P20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02" spans="1:16" x14ac:dyDescent="0.3">
      <c r="A202" t="s">
        <v>408</v>
      </c>
      <c r="B202" t="s">
        <v>14</v>
      </c>
      <c r="C202" s="11">
        <v>45672</v>
      </c>
      <c r="D202" t="s">
        <v>16</v>
      </c>
      <c r="E202" t="s">
        <v>17</v>
      </c>
      <c r="F202">
        <v>802</v>
      </c>
      <c r="G202">
        <v>262</v>
      </c>
      <c r="H202">
        <v>244</v>
      </c>
      <c r="I202">
        <v>14436</v>
      </c>
      <c r="J202">
        <v>14280</v>
      </c>
      <c r="K202">
        <v>49</v>
      </c>
      <c r="L202" t="s">
        <v>74</v>
      </c>
      <c r="M202" t="s">
        <v>55</v>
      </c>
      <c r="N202" s="14">
        <v>9.0606816292601824E-2</v>
      </c>
      <c r="O202" s="11">
        <v>45669</v>
      </c>
      <c r="P20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03" spans="1:16" x14ac:dyDescent="0.3">
      <c r="A203" t="s">
        <v>410</v>
      </c>
      <c r="B203" t="s">
        <v>40</v>
      </c>
      <c r="C203" s="11">
        <v>45445</v>
      </c>
      <c r="D203" t="s">
        <v>49</v>
      </c>
      <c r="E203" t="s">
        <v>50</v>
      </c>
      <c r="F203">
        <v>1871</v>
      </c>
      <c r="G203">
        <v>252</v>
      </c>
      <c r="H203">
        <v>335</v>
      </c>
      <c r="I203">
        <v>29936</v>
      </c>
      <c r="J203">
        <v>29576</v>
      </c>
      <c r="K203">
        <v>288</v>
      </c>
      <c r="L203" t="s">
        <v>44</v>
      </c>
      <c r="M203" t="s">
        <v>25</v>
      </c>
      <c r="N203" s="14">
        <v>8.2108498129342594E-2</v>
      </c>
      <c r="O203" s="11">
        <v>45445</v>
      </c>
      <c r="P20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04" spans="1:16" x14ac:dyDescent="0.3">
      <c r="A204" t="s">
        <v>412</v>
      </c>
      <c r="B204" t="s">
        <v>31</v>
      </c>
      <c r="C204" s="11">
        <v>45617</v>
      </c>
      <c r="D204" t="s">
        <v>42</v>
      </c>
      <c r="E204" t="s">
        <v>43</v>
      </c>
      <c r="F204">
        <v>3773</v>
      </c>
      <c r="G204">
        <v>299</v>
      </c>
      <c r="H204">
        <v>38</v>
      </c>
      <c r="I204">
        <v>71687</v>
      </c>
      <c r="J204">
        <v>71447</v>
      </c>
      <c r="K204">
        <v>286</v>
      </c>
      <c r="L204" t="s">
        <v>44</v>
      </c>
      <c r="M204" t="s">
        <v>55</v>
      </c>
      <c r="N204" s="14">
        <v>5.7332570758993957E-2</v>
      </c>
      <c r="O204" s="11">
        <v>45613</v>
      </c>
      <c r="P20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05" spans="1:16" x14ac:dyDescent="0.3">
      <c r="A205" t="s">
        <v>414</v>
      </c>
      <c r="B205" t="s">
        <v>31</v>
      </c>
      <c r="C205" s="11">
        <v>45658</v>
      </c>
      <c r="D205" t="s">
        <v>42</v>
      </c>
      <c r="E205" t="s">
        <v>43</v>
      </c>
      <c r="F205">
        <v>2234</v>
      </c>
      <c r="G205">
        <v>653</v>
      </c>
      <c r="H205">
        <v>432</v>
      </c>
      <c r="I205">
        <v>11170</v>
      </c>
      <c r="J205">
        <v>10569</v>
      </c>
      <c r="K205">
        <v>198</v>
      </c>
      <c r="L205" t="s">
        <v>264</v>
      </c>
      <c r="M205" t="s">
        <v>55</v>
      </c>
      <c r="N205" s="14">
        <v>0.29713518352730528</v>
      </c>
      <c r="O205" s="11">
        <v>45655</v>
      </c>
      <c r="P20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06" spans="1:16" x14ac:dyDescent="0.3">
      <c r="A206" t="s">
        <v>415</v>
      </c>
      <c r="B206" t="s">
        <v>14</v>
      </c>
      <c r="C206" s="11">
        <v>45771</v>
      </c>
      <c r="D206" t="s">
        <v>69</v>
      </c>
      <c r="E206" t="s">
        <v>70</v>
      </c>
      <c r="F206">
        <v>3820</v>
      </c>
      <c r="G206">
        <v>697</v>
      </c>
      <c r="H206">
        <v>268</v>
      </c>
      <c r="I206">
        <v>45840</v>
      </c>
      <c r="J206">
        <v>45631</v>
      </c>
      <c r="K206">
        <v>171</v>
      </c>
      <c r="L206" t="s">
        <v>162</v>
      </c>
      <c r="M206" t="s">
        <v>19</v>
      </c>
      <c r="N206" s="14">
        <v>0.1043848167539267</v>
      </c>
      <c r="O206" s="11">
        <v>45767</v>
      </c>
      <c r="P20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07" spans="1:16" x14ac:dyDescent="0.3">
      <c r="A207" t="s">
        <v>416</v>
      </c>
      <c r="B207" t="s">
        <v>14</v>
      </c>
      <c r="C207" s="11">
        <v>45467</v>
      </c>
      <c r="D207" t="s">
        <v>22</v>
      </c>
      <c r="E207" t="s">
        <v>23</v>
      </c>
      <c r="F207">
        <v>941</v>
      </c>
      <c r="G207">
        <v>121</v>
      </c>
      <c r="H207">
        <v>458</v>
      </c>
      <c r="I207">
        <v>14115</v>
      </c>
      <c r="J207">
        <v>13838</v>
      </c>
      <c r="K207">
        <v>87</v>
      </c>
      <c r="L207" t="s">
        <v>29</v>
      </c>
      <c r="M207" t="s">
        <v>25</v>
      </c>
      <c r="N207" s="14">
        <v>0.10768685795253277</v>
      </c>
      <c r="O207" s="11">
        <v>45466</v>
      </c>
      <c r="P20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08" spans="1:16" x14ac:dyDescent="0.3">
      <c r="A208" t="s">
        <v>417</v>
      </c>
      <c r="B208" t="s">
        <v>14</v>
      </c>
      <c r="C208" s="11">
        <v>45655</v>
      </c>
      <c r="D208" t="s">
        <v>42</v>
      </c>
      <c r="E208" t="s">
        <v>43</v>
      </c>
      <c r="F208">
        <v>4274</v>
      </c>
      <c r="G208">
        <v>340</v>
      </c>
      <c r="H208">
        <v>281</v>
      </c>
      <c r="I208">
        <v>34192</v>
      </c>
      <c r="J208">
        <v>33446</v>
      </c>
      <c r="K208">
        <v>129</v>
      </c>
      <c r="L208" t="s">
        <v>162</v>
      </c>
      <c r="M208" t="s">
        <v>38</v>
      </c>
      <c r="N208" s="14">
        <v>0.14316214319138981</v>
      </c>
      <c r="O208" s="11">
        <v>45655</v>
      </c>
      <c r="P20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09" spans="1:16" x14ac:dyDescent="0.3">
      <c r="A209" t="s">
        <v>419</v>
      </c>
      <c r="B209" t="s">
        <v>576</v>
      </c>
      <c r="C209" s="11">
        <v>45467</v>
      </c>
      <c r="D209" t="s">
        <v>69</v>
      </c>
      <c r="E209" t="s">
        <v>70</v>
      </c>
      <c r="F209">
        <v>2949</v>
      </c>
      <c r="G209">
        <v>476</v>
      </c>
      <c r="H209">
        <v>403</v>
      </c>
      <c r="I209">
        <v>44235</v>
      </c>
      <c r="J209">
        <v>43705</v>
      </c>
      <c r="K209">
        <v>135</v>
      </c>
      <c r="L209" t="s">
        <v>116</v>
      </c>
      <c r="M209" t="s">
        <v>19</v>
      </c>
      <c r="N209" s="14">
        <v>8.6537809426924378E-2</v>
      </c>
      <c r="O209" s="11">
        <v>45466</v>
      </c>
      <c r="P20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10" spans="1:16" x14ac:dyDescent="0.3">
      <c r="A210" t="s">
        <v>420</v>
      </c>
      <c r="B210" t="s">
        <v>14</v>
      </c>
      <c r="C210" s="11">
        <v>45735</v>
      </c>
      <c r="D210" t="s">
        <v>69</v>
      </c>
      <c r="E210" t="s">
        <v>70</v>
      </c>
      <c r="F210">
        <v>3160</v>
      </c>
      <c r="G210">
        <v>204</v>
      </c>
      <c r="H210">
        <v>297</v>
      </c>
      <c r="I210">
        <v>44240</v>
      </c>
      <c r="J210">
        <v>43666</v>
      </c>
      <c r="K210">
        <v>49</v>
      </c>
      <c r="L210" t="s">
        <v>87</v>
      </c>
      <c r="M210" t="s">
        <v>19</v>
      </c>
      <c r="N210" s="14">
        <v>8.2753164556962022E-2</v>
      </c>
      <c r="O210" s="11">
        <v>45732</v>
      </c>
      <c r="P21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11" spans="1:16" x14ac:dyDescent="0.3">
      <c r="A211" t="s">
        <v>422</v>
      </c>
      <c r="B211" t="s">
        <v>576</v>
      </c>
      <c r="C211" s="11">
        <v>45707</v>
      </c>
      <c r="D211" t="s">
        <v>49</v>
      </c>
      <c r="E211" t="s">
        <v>50</v>
      </c>
      <c r="F211">
        <v>257</v>
      </c>
      <c r="G211">
        <v>966</v>
      </c>
      <c r="H211">
        <v>398</v>
      </c>
      <c r="I211">
        <v>3341</v>
      </c>
      <c r="J211">
        <v>2753</v>
      </c>
      <c r="K211">
        <v>287</v>
      </c>
      <c r="L211" t="s">
        <v>209</v>
      </c>
      <c r="M211" t="s">
        <v>19</v>
      </c>
      <c r="N211" s="14">
        <v>0.48518407662376534</v>
      </c>
      <c r="O211" s="11">
        <v>45704</v>
      </c>
      <c r="P21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12" spans="1:16" x14ac:dyDescent="0.3">
      <c r="A212" t="s">
        <v>423</v>
      </c>
      <c r="B212" t="s">
        <v>14</v>
      </c>
      <c r="C212" s="11">
        <v>45491</v>
      </c>
      <c r="D212" t="s">
        <v>42</v>
      </c>
      <c r="E212" t="s">
        <v>43</v>
      </c>
      <c r="F212">
        <v>2120</v>
      </c>
      <c r="G212">
        <v>38</v>
      </c>
      <c r="H212">
        <v>212</v>
      </c>
      <c r="I212">
        <v>12720</v>
      </c>
      <c r="J212">
        <v>12564</v>
      </c>
      <c r="K212">
        <v>21</v>
      </c>
      <c r="L212" t="s">
        <v>209</v>
      </c>
      <c r="M212" t="s">
        <v>19</v>
      </c>
      <c r="N212" s="14">
        <v>0.18632075471698112</v>
      </c>
      <c r="O212" s="11">
        <v>45487</v>
      </c>
      <c r="P21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13" spans="1:16" x14ac:dyDescent="0.3">
      <c r="A213" t="s">
        <v>425</v>
      </c>
      <c r="B213" t="s">
        <v>576</v>
      </c>
      <c r="C213" s="11">
        <v>45719</v>
      </c>
      <c r="D213" t="s">
        <v>69</v>
      </c>
      <c r="E213" t="s">
        <v>70</v>
      </c>
      <c r="F213">
        <v>3874</v>
      </c>
      <c r="G213">
        <v>884</v>
      </c>
      <c r="H213">
        <v>19</v>
      </c>
      <c r="I213">
        <v>38740</v>
      </c>
      <c r="J213">
        <v>38552</v>
      </c>
      <c r="K213">
        <v>219</v>
      </c>
      <c r="L213" t="s">
        <v>58</v>
      </c>
      <c r="M213" t="s">
        <v>55</v>
      </c>
      <c r="N213" s="14">
        <v>0.123309241094476</v>
      </c>
      <c r="O213" s="11">
        <v>45718</v>
      </c>
      <c r="P21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14" spans="1:16" x14ac:dyDescent="0.3">
      <c r="A214" t="s">
        <v>426</v>
      </c>
      <c r="B214" t="s">
        <v>40</v>
      </c>
      <c r="C214" s="11">
        <v>45778</v>
      </c>
      <c r="D214" t="s">
        <v>42</v>
      </c>
      <c r="E214" t="s">
        <v>43</v>
      </c>
      <c r="F214">
        <v>2696</v>
      </c>
      <c r="G214">
        <v>628</v>
      </c>
      <c r="H214">
        <v>443</v>
      </c>
      <c r="I214">
        <v>45832</v>
      </c>
      <c r="J214">
        <v>45632</v>
      </c>
      <c r="K214">
        <v>248</v>
      </c>
      <c r="L214" t="s">
        <v>18</v>
      </c>
      <c r="M214" t="s">
        <v>38</v>
      </c>
      <c r="N214" s="14">
        <v>8.21914819340199E-2</v>
      </c>
      <c r="O214" s="11">
        <v>45774</v>
      </c>
      <c r="P21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15" spans="1:16" x14ac:dyDescent="0.3">
      <c r="A215" t="s">
        <v>428</v>
      </c>
      <c r="B215" t="s">
        <v>31</v>
      </c>
      <c r="C215" s="11">
        <v>45649</v>
      </c>
      <c r="D215" t="s">
        <v>49</v>
      </c>
      <c r="E215" t="s">
        <v>50</v>
      </c>
      <c r="F215">
        <v>521</v>
      </c>
      <c r="G215">
        <v>746</v>
      </c>
      <c r="H215">
        <v>315</v>
      </c>
      <c r="I215">
        <v>4168</v>
      </c>
      <c r="J215">
        <v>3399</v>
      </c>
      <c r="K215">
        <v>282</v>
      </c>
      <c r="L215" t="s">
        <v>18</v>
      </c>
      <c r="M215" t="s">
        <v>19</v>
      </c>
      <c r="N215" s="14">
        <v>0.37955854126679461</v>
      </c>
      <c r="O215" s="11">
        <v>45648</v>
      </c>
      <c r="P21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16" spans="1:16" x14ac:dyDescent="0.3">
      <c r="A216" t="s">
        <v>429</v>
      </c>
      <c r="B216" t="s">
        <v>40</v>
      </c>
      <c r="C216" s="11">
        <v>45783</v>
      </c>
      <c r="D216" t="s">
        <v>49</v>
      </c>
      <c r="E216" t="s">
        <v>50</v>
      </c>
      <c r="F216">
        <v>4872</v>
      </c>
      <c r="G216">
        <v>925</v>
      </c>
      <c r="H216">
        <v>176</v>
      </c>
      <c r="I216">
        <v>82824</v>
      </c>
      <c r="J216">
        <v>82543</v>
      </c>
      <c r="K216">
        <v>89</v>
      </c>
      <c r="L216" t="s">
        <v>102</v>
      </c>
      <c r="M216" t="s">
        <v>19</v>
      </c>
      <c r="N216" s="14">
        <v>7.2116777745580993E-2</v>
      </c>
      <c r="O216" s="11">
        <v>45781</v>
      </c>
      <c r="P21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17" spans="1:16" x14ac:dyDescent="0.3">
      <c r="A217" t="s">
        <v>431</v>
      </c>
      <c r="B217" t="s">
        <v>576</v>
      </c>
      <c r="C217" s="11">
        <v>45502</v>
      </c>
      <c r="D217" t="s">
        <v>33</v>
      </c>
      <c r="E217" t="s">
        <v>34</v>
      </c>
      <c r="F217">
        <v>1509</v>
      </c>
      <c r="G217">
        <v>88</v>
      </c>
      <c r="H217">
        <v>163</v>
      </c>
      <c r="I217">
        <v>30180</v>
      </c>
      <c r="J217">
        <v>29689</v>
      </c>
      <c r="K217">
        <v>119</v>
      </c>
      <c r="L217" t="s">
        <v>44</v>
      </c>
      <c r="M217" t="s">
        <v>19</v>
      </c>
      <c r="N217" s="14">
        <v>5.8316766070245198E-2</v>
      </c>
      <c r="O217" s="11">
        <v>45501</v>
      </c>
      <c r="P21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18" spans="1:16" x14ac:dyDescent="0.3">
      <c r="A218" t="s">
        <v>432</v>
      </c>
      <c r="B218" t="s">
        <v>40</v>
      </c>
      <c r="C218" s="11">
        <v>45629</v>
      </c>
      <c r="D218" t="s">
        <v>49</v>
      </c>
      <c r="E218" t="s">
        <v>50</v>
      </c>
      <c r="F218">
        <v>4606</v>
      </c>
      <c r="G218">
        <v>931</v>
      </c>
      <c r="H218">
        <v>230</v>
      </c>
      <c r="I218">
        <v>92120</v>
      </c>
      <c r="J218">
        <v>91440</v>
      </c>
      <c r="K218">
        <v>56</v>
      </c>
      <c r="L218" t="s">
        <v>144</v>
      </c>
      <c r="M218" t="s">
        <v>38</v>
      </c>
      <c r="N218" s="14">
        <v>6.2603126356925748E-2</v>
      </c>
      <c r="O218" s="11">
        <v>45627</v>
      </c>
      <c r="P21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19" spans="1:16" x14ac:dyDescent="0.3">
      <c r="A219" t="s">
        <v>433</v>
      </c>
      <c r="B219" t="s">
        <v>40</v>
      </c>
      <c r="C219" s="11">
        <v>45454</v>
      </c>
      <c r="D219" t="s">
        <v>42</v>
      </c>
      <c r="E219" t="s">
        <v>43</v>
      </c>
      <c r="F219">
        <v>1869</v>
      </c>
      <c r="G219">
        <v>453</v>
      </c>
      <c r="H219">
        <v>490</v>
      </c>
      <c r="I219">
        <v>14952</v>
      </c>
      <c r="J219">
        <v>14309</v>
      </c>
      <c r="K219">
        <v>275</v>
      </c>
      <c r="L219" t="s">
        <v>264</v>
      </c>
      <c r="M219" t="s">
        <v>19</v>
      </c>
      <c r="N219" s="14">
        <v>0.18806848582129482</v>
      </c>
      <c r="O219" s="11">
        <v>45452</v>
      </c>
      <c r="P21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20" spans="1:16" x14ac:dyDescent="0.3">
      <c r="A220" t="s">
        <v>434</v>
      </c>
      <c r="B220" t="s">
        <v>14</v>
      </c>
      <c r="C220" s="11">
        <v>45685</v>
      </c>
      <c r="D220" t="s">
        <v>16</v>
      </c>
      <c r="E220" t="s">
        <v>17</v>
      </c>
      <c r="F220">
        <v>1188</v>
      </c>
      <c r="G220">
        <v>470</v>
      </c>
      <c r="H220">
        <v>174</v>
      </c>
      <c r="I220">
        <v>7128</v>
      </c>
      <c r="J220">
        <v>6145</v>
      </c>
      <c r="K220">
        <v>270</v>
      </c>
      <c r="L220" t="s">
        <v>37</v>
      </c>
      <c r="M220" t="s">
        <v>25</v>
      </c>
      <c r="N220" s="14">
        <v>0.25701459034792368</v>
      </c>
      <c r="O220" s="11">
        <v>45683</v>
      </c>
      <c r="P22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21" spans="1:16" x14ac:dyDescent="0.3">
      <c r="A221" t="s">
        <v>435</v>
      </c>
      <c r="B221" t="s">
        <v>31</v>
      </c>
      <c r="C221" s="11">
        <v>45445</v>
      </c>
      <c r="D221" t="s">
        <v>33</v>
      </c>
      <c r="E221" t="s">
        <v>34</v>
      </c>
      <c r="F221">
        <v>84</v>
      </c>
      <c r="G221">
        <v>897</v>
      </c>
      <c r="H221">
        <v>85</v>
      </c>
      <c r="I221">
        <v>588</v>
      </c>
      <c r="J221">
        <v>8</v>
      </c>
      <c r="K221">
        <v>12</v>
      </c>
      <c r="L221" t="s">
        <v>58</v>
      </c>
      <c r="M221" t="s">
        <v>25</v>
      </c>
      <c r="N221" s="14">
        <v>1.8129251700680271</v>
      </c>
      <c r="O221" s="11">
        <v>45445</v>
      </c>
      <c r="P22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22" spans="1:16" x14ac:dyDescent="0.3">
      <c r="A222" t="s">
        <v>436</v>
      </c>
      <c r="B222" t="s">
        <v>40</v>
      </c>
      <c r="C222" s="11">
        <v>45739</v>
      </c>
      <c r="D222" t="s">
        <v>69</v>
      </c>
      <c r="E222" t="s">
        <v>70</v>
      </c>
      <c r="F222">
        <v>4453</v>
      </c>
      <c r="G222">
        <v>111</v>
      </c>
      <c r="H222">
        <v>420</v>
      </c>
      <c r="I222">
        <v>31171</v>
      </c>
      <c r="J222">
        <v>30565</v>
      </c>
      <c r="K222">
        <v>23</v>
      </c>
      <c r="L222" t="s">
        <v>105</v>
      </c>
      <c r="M222" t="s">
        <v>55</v>
      </c>
      <c r="N222" s="14">
        <v>0.15989220750056141</v>
      </c>
      <c r="O222" s="11">
        <v>45739</v>
      </c>
      <c r="P22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23" spans="1:16" x14ac:dyDescent="0.3">
      <c r="A223" t="s">
        <v>437</v>
      </c>
      <c r="B223" t="s">
        <v>40</v>
      </c>
      <c r="C223" s="11">
        <v>45573</v>
      </c>
      <c r="D223" t="s">
        <v>16</v>
      </c>
      <c r="E223" t="s">
        <v>17</v>
      </c>
      <c r="F223">
        <v>1814</v>
      </c>
      <c r="G223">
        <v>653</v>
      </c>
      <c r="H223">
        <v>363</v>
      </c>
      <c r="I223">
        <v>25396</v>
      </c>
      <c r="J223">
        <v>25286</v>
      </c>
      <c r="K223">
        <v>39</v>
      </c>
      <c r="L223" t="s">
        <v>58</v>
      </c>
      <c r="M223" t="s">
        <v>19</v>
      </c>
      <c r="N223" s="14">
        <v>0.11143487163332809</v>
      </c>
      <c r="O223" s="11">
        <v>45571</v>
      </c>
      <c r="P22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24" spans="1:16" x14ac:dyDescent="0.3">
      <c r="A224" t="s">
        <v>439</v>
      </c>
      <c r="B224" t="s">
        <v>14</v>
      </c>
      <c r="C224" s="11">
        <v>45608</v>
      </c>
      <c r="D224" t="s">
        <v>49</v>
      </c>
      <c r="E224" t="s">
        <v>50</v>
      </c>
      <c r="F224">
        <v>3338</v>
      </c>
      <c r="G224">
        <v>277</v>
      </c>
      <c r="H224">
        <v>118</v>
      </c>
      <c r="I224">
        <v>60084</v>
      </c>
      <c r="J224">
        <v>59842</v>
      </c>
      <c r="K224">
        <v>252</v>
      </c>
      <c r="L224" t="s">
        <v>58</v>
      </c>
      <c r="M224" t="s">
        <v>19</v>
      </c>
      <c r="N224" s="14">
        <v>6.2129685107516146E-2</v>
      </c>
      <c r="O224" s="11">
        <v>45606</v>
      </c>
      <c r="P22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25" spans="1:16" x14ac:dyDescent="0.3">
      <c r="A225" t="s">
        <v>440</v>
      </c>
      <c r="B225" t="s">
        <v>40</v>
      </c>
      <c r="C225" s="11">
        <v>45790</v>
      </c>
      <c r="D225" t="s">
        <v>49</v>
      </c>
      <c r="E225" t="s">
        <v>50</v>
      </c>
      <c r="F225">
        <v>602</v>
      </c>
      <c r="G225">
        <v>594</v>
      </c>
      <c r="H225">
        <v>156</v>
      </c>
      <c r="I225">
        <v>4214</v>
      </c>
      <c r="J225">
        <v>3363</v>
      </c>
      <c r="K225">
        <v>164</v>
      </c>
      <c r="L225" t="s">
        <v>18</v>
      </c>
      <c r="M225" t="s">
        <v>38</v>
      </c>
      <c r="N225" s="14">
        <v>0.32083531086853345</v>
      </c>
      <c r="O225" s="11">
        <v>45788</v>
      </c>
      <c r="P22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26" spans="1:16" x14ac:dyDescent="0.3">
      <c r="A226" t="s">
        <v>442</v>
      </c>
      <c r="B226" t="s">
        <v>14</v>
      </c>
      <c r="C226" s="11">
        <v>45463</v>
      </c>
      <c r="D226" t="s">
        <v>42</v>
      </c>
      <c r="E226" t="s">
        <v>43</v>
      </c>
      <c r="F226">
        <v>4672</v>
      </c>
      <c r="G226">
        <v>325</v>
      </c>
      <c r="H226">
        <v>32</v>
      </c>
      <c r="I226">
        <v>88768</v>
      </c>
      <c r="J226">
        <v>87833</v>
      </c>
      <c r="K226">
        <v>118</v>
      </c>
      <c r="L226" t="s">
        <v>127</v>
      </c>
      <c r="M226" t="s">
        <v>38</v>
      </c>
      <c r="N226" s="14">
        <v>5.6653298485940883E-2</v>
      </c>
      <c r="O226" s="11">
        <v>45459</v>
      </c>
      <c r="P22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27" spans="1:16" x14ac:dyDescent="0.3">
      <c r="A227" t="s">
        <v>443</v>
      </c>
      <c r="B227" t="s">
        <v>31</v>
      </c>
      <c r="C227" s="11">
        <v>45511</v>
      </c>
      <c r="D227" t="s">
        <v>42</v>
      </c>
      <c r="E227" t="s">
        <v>43</v>
      </c>
      <c r="F227">
        <v>1741</v>
      </c>
      <c r="G227">
        <v>164</v>
      </c>
      <c r="H227">
        <v>318</v>
      </c>
      <c r="I227">
        <v>8705</v>
      </c>
      <c r="J227">
        <v>8272</v>
      </c>
      <c r="K227">
        <v>121</v>
      </c>
      <c r="L227" t="s">
        <v>18</v>
      </c>
      <c r="M227" t="s">
        <v>25</v>
      </c>
      <c r="N227" s="14">
        <v>0.25537047673750718</v>
      </c>
      <c r="O227" s="11">
        <v>45508</v>
      </c>
      <c r="P22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28" spans="1:16" x14ac:dyDescent="0.3">
      <c r="A228" t="s">
        <v>445</v>
      </c>
      <c r="B228" t="s">
        <v>31</v>
      </c>
      <c r="C228" s="11">
        <v>45455</v>
      </c>
      <c r="D228" t="s">
        <v>22</v>
      </c>
      <c r="E228" t="s">
        <v>23</v>
      </c>
      <c r="F228">
        <v>246</v>
      </c>
      <c r="G228">
        <v>149</v>
      </c>
      <c r="H228">
        <v>130</v>
      </c>
      <c r="I228">
        <v>4674</v>
      </c>
      <c r="J228">
        <v>4390</v>
      </c>
      <c r="K228">
        <v>217</v>
      </c>
      <c r="L228" t="s">
        <v>116</v>
      </c>
      <c r="M228" t="s">
        <v>25</v>
      </c>
      <c r="N228" s="14">
        <v>0.11232349165596919</v>
      </c>
      <c r="O228" s="11">
        <v>45452</v>
      </c>
      <c r="P22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29" spans="1:16" x14ac:dyDescent="0.3">
      <c r="A229" t="s">
        <v>447</v>
      </c>
      <c r="B229" t="s">
        <v>31</v>
      </c>
      <c r="C229" s="11">
        <v>45474</v>
      </c>
      <c r="D229" t="s">
        <v>33</v>
      </c>
      <c r="E229" t="s">
        <v>34</v>
      </c>
      <c r="F229">
        <v>4808</v>
      </c>
      <c r="G229">
        <v>772</v>
      </c>
      <c r="H229">
        <v>320</v>
      </c>
      <c r="I229">
        <v>72120</v>
      </c>
      <c r="J229">
        <v>71696</v>
      </c>
      <c r="K229">
        <v>195</v>
      </c>
      <c r="L229" t="s">
        <v>209</v>
      </c>
      <c r="M229" t="s">
        <v>55</v>
      </c>
      <c r="N229" s="14">
        <v>8.1808097615085965E-2</v>
      </c>
      <c r="O229" s="11">
        <v>45473</v>
      </c>
      <c r="P22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30" spans="1:16" x14ac:dyDescent="0.3">
      <c r="A230" t="s">
        <v>449</v>
      </c>
      <c r="B230" t="s">
        <v>31</v>
      </c>
      <c r="C230" s="11">
        <v>45476</v>
      </c>
      <c r="D230" t="s">
        <v>42</v>
      </c>
      <c r="E230" t="s">
        <v>43</v>
      </c>
      <c r="F230">
        <v>4799</v>
      </c>
      <c r="G230">
        <v>694</v>
      </c>
      <c r="H230">
        <v>289</v>
      </c>
      <c r="I230">
        <v>43191</v>
      </c>
      <c r="J230">
        <v>42228</v>
      </c>
      <c r="K230">
        <v>118</v>
      </c>
      <c r="L230" t="s">
        <v>44</v>
      </c>
      <c r="M230" t="s">
        <v>25</v>
      </c>
      <c r="N230" s="14">
        <v>0.13387048227640017</v>
      </c>
      <c r="O230" s="11">
        <v>45473</v>
      </c>
      <c r="P23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31" spans="1:16" x14ac:dyDescent="0.3">
      <c r="A231" t="s">
        <v>450</v>
      </c>
      <c r="B231" t="s">
        <v>40</v>
      </c>
      <c r="C231" s="11">
        <v>45488</v>
      </c>
      <c r="D231" t="s">
        <v>16</v>
      </c>
      <c r="E231" t="s">
        <v>17</v>
      </c>
      <c r="F231">
        <v>3663</v>
      </c>
      <c r="G231">
        <v>17</v>
      </c>
      <c r="H231">
        <v>295</v>
      </c>
      <c r="I231">
        <v>51282</v>
      </c>
      <c r="J231">
        <v>50567</v>
      </c>
      <c r="K231">
        <v>84</v>
      </c>
      <c r="L231" t="s">
        <v>18</v>
      </c>
      <c r="M231" t="s">
        <v>19</v>
      </c>
      <c r="N231" s="14">
        <v>7.7512577512577507E-2</v>
      </c>
      <c r="O231" s="11">
        <v>45487</v>
      </c>
      <c r="P23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32" spans="1:16" x14ac:dyDescent="0.3">
      <c r="A232" t="s">
        <v>451</v>
      </c>
      <c r="B232" t="s">
        <v>31</v>
      </c>
      <c r="C232" s="11">
        <v>45778</v>
      </c>
      <c r="D232" t="s">
        <v>22</v>
      </c>
      <c r="E232" t="s">
        <v>23</v>
      </c>
      <c r="F232">
        <v>1430</v>
      </c>
      <c r="G232">
        <v>376</v>
      </c>
      <c r="H232">
        <v>33</v>
      </c>
      <c r="I232">
        <v>21450</v>
      </c>
      <c r="J232">
        <v>20509</v>
      </c>
      <c r="K232">
        <v>251</v>
      </c>
      <c r="L232" t="s">
        <v>77</v>
      </c>
      <c r="M232" t="s">
        <v>38</v>
      </c>
      <c r="N232" s="14">
        <v>8.5734265734265735E-2</v>
      </c>
      <c r="O232" s="11">
        <v>45774</v>
      </c>
      <c r="P23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33" spans="1:16" x14ac:dyDescent="0.3">
      <c r="A233" t="s">
        <v>452</v>
      </c>
      <c r="B233" t="s">
        <v>14</v>
      </c>
      <c r="C233" s="11">
        <v>45776</v>
      </c>
      <c r="D233" t="s">
        <v>33</v>
      </c>
      <c r="E233" t="s">
        <v>34</v>
      </c>
      <c r="F233">
        <v>249</v>
      </c>
      <c r="G233">
        <v>592</v>
      </c>
      <c r="H233">
        <v>230</v>
      </c>
      <c r="I233">
        <v>1494</v>
      </c>
      <c r="J233">
        <v>1044</v>
      </c>
      <c r="K233">
        <v>201</v>
      </c>
      <c r="L233" t="s">
        <v>285</v>
      </c>
      <c r="M233" t="s">
        <v>55</v>
      </c>
      <c r="N233" s="14">
        <v>0.7168674698795181</v>
      </c>
      <c r="O233" s="11">
        <v>45774</v>
      </c>
      <c r="P23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34" spans="1:16" x14ac:dyDescent="0.3">
      <c r="A234" t="s">
        <v>454</v>
      </c>
      <c r="B234" t="s">
        <v>40</v>
      </c>
      <c r="C234" s="11">
        <v>45724</v>
      </c>
      <c r="D234" t="s">
        <v>49</v>
      </c>
      <c r="E234" t="s">
        <v>50</v>
      </c>
      <c r="F234">
        <v>2382</v>
      </c>
      <c r="G234">
        <v>265</v>
      </c>
      <c r="H234">
        <v>134</v>
      </c>
      <c r="I234">
        <v>38112</v>
      </c>
      <c r="J234">
        <v>37437</v>
      </c>
      <c r="K234">
        <v>249</v>
      </c>
      <c r="L234" t="s">
        <v>178</v>
      </c>
      <c r="M234" t="s">
        <v>25</v>
      </c>
      <c r="N234" s="14">
        <v>7.2969143576826198E-2</v>
      </c>
      <c r="O234" s="11">
        <v>45718</v>
      </c>
      <c r="P23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35" spans="1:16" x14ac:dyDescent="0.3">
      <c r="A235" t="s">
        <v>455</v>
      </c>
      <c r="B235" t="s">
        <v>40</v>
      </c>
      <c r="C235" s="11">
        <v>45444</v>
      </c>
      <c r="D235" t="s">
        <v>22</v>
      </c>
      <c r="E235" t="s">
        <v>23</v>
      </c>
      <c r="F235">
        <v>1272</v>
      </c>
      <c r="G235">
        <v>465</v>
      </c>
      <c r="H235">
        <v>99</v>
      </c>
      <c r="I235">
        <v>24168</v>
      </c>
      <c r="J235">
        <v>23719</v>
      </c>
      <c r="K235">
        <v>42</v>
      </c>
      <c r="L235" t="s">
        <v>71</v>
      </c>
      <c r="M235" t="s">
        <v>25</v>
      </c>
      <c r="N235" s="14">
        <v>7.5968222442899705E-2</v>
      </c>
      <c r="O235" s="11">
        <v>45438</v>
      </c>
      <c r="P23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36" spans="1:16" x14ac:dyDescent="0.3">
      <c r="A236" t="s">
        <v>457</v>
      </c>
      <c r="B236" t="s">
        <v>40</v>
      </c>
      <c r="C236" s="11">
        <v>45648</v>
      </c>
      <c r="D236" t="s">
        <v>49</v>
      </c>
      <c r="E236" t="s">
        <v>50</v>
      </c>
      <c r="F236">
        <v>3196</v>
      </c>
      <c r="G236">
        <v>941</v>
      </c>
      <c r="H236">
        <v>376</v>
      </c>
      <c r="I236">
        <v>35156</v>
      </c>
      <c r="J236">
        <v>34444</v>
      </c>
      <c r="K236">
        <v>241</v>
      </c>
      <c r="L236" t="s">
        <v>87</v>
      </c>
      <c r="M236" t="s">
        <v>55</v>
      </c>
      <c r="N236" s="14">
        <v>0.1283706906360223</v>
      </c>
      <c r="O236" s="11">
        <v>45648</v>
      </c>
      <c r="P23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37" spans="1:16" x14ac:dyDescent="0.3">
      <c r="A237" t="s">
        <v>458</v>
      </c>
      <c r="B237" t="s">
        <v>40</v>
      </c>
      <c r="C237" s="11">
        <v>45523</v>
      </c>
      <c r="D237" t="s">
        <v>22</v>
      </c>
      <c r="E237" t="s">
        <v>23</v>
      </c>
      <c r="F237">
        <v>1257</v>
      </c>
      <c r="G237">
        <v>19</v>
      </c>
      <c r="H237">
        <v>351</v>
      </c>
      <c r="I237">
        <v>12570</v>
      </c>
      <c r="J237">
        <v>11660</v>
      </c>
      <c r="K237">
        <v>194</v>
      </c>
      <c r="L237" t="s">
        <v>58</v>
      </c>
      <c r="M237" t="s">
        <v>19</v>
      </c>
      <c r="N237" s="14">
        <v>0.12943516308671441</v>
      </c>
      <c r="O237" s="11">
        <v>45522</v>
      </c>
      <c r="P23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38" spans="1:16" x14ac:dyDescent="0.3">
      <c r="A238" t="s">
        <v>459</v>
      </c>
      <c r="B238" t="s">
        <v>31</v>
      </c>
      <c r="C238" s="11">
        <v>45587</v>
      </c>
      <c r="D238" t="s">
        <v>33</v>
      </c>
      <c r="E238" t="s">
        <v>34</v>
      </c>
      <c r="F238">
        <v>3770</v>
      </c>
      <c r="G238">
        <v>917</v>
      </c>
      <c r="H238">
        <v>129</v>
      </c>
      <c r="I238">
        <v>71630</v>
      </c>
      <c r="J238">
        <v>71322</v>
      </c>
      <c r="K238">
        <v>76</v>
      </c>
      <c r="L238" t="s">
        <v>102</v>
      </c>
      <c r="M238" t="s">
        <v>55</v>
      </c>
      <c r="N238" s="14">
        <v>6.7234398994834563E-2</v>
      </c>
      <c r="O238" s="11">
        <v>45585</v>
      </c>
      <c r="P23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39" spans="1:16" x14ac:dyDescent="0.3">
      <c r="A239" t="s">
        <v>460</v>
      </c>
      <c r="B239" t="s">
        <v>14</v>
      </c>
      <c r="C239" s="11">
        <v>45489</v>
      </c>
      <c r="D239" t="s">
        <v>22</v>
      </c>
      <c r="E239" t="s">
        <v>23</v>
      </c>
      <c r="F239">
        <v>4725</v>
      </c>
      <c r="G239">
        <v>400</v>
      </c>
      <c r="H239">
        <v>362</v>
      </c>
      <c r="I239">
        <v>75600</v>
      </c>
      <c r="J239">
        <v>74927</v>
      </c>
      <c r="K239">
        <v>43</v>
      </c>
      <c r="L239" t="s">
        <v>105</v>
      </c>
      <c r="M239" t="s">
        <v>19</v>
      </c>
      <c r="N239" s="14">
        <v>7.2579365079365077E-2</v>
      </c>
      <c r="O239" s="11">
        <v>45487</v>
      </c>
      <c r="P23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40" spans="1:16" x14ac:dyDescent="0.3">
      <c r="A240" t="s">
        <v>462</v>
      </c>
      <c r="B240" t="s">
        <v>576</v>
      </c>
      <c r="C240" s="11">
        <v>45712</v>
      </c>
      <c r="D240" t="s">
        <v>22</v>
      </c>
      <c r="E240" t="s">
        <v>23</v>
      </c>
      <c r="F240">
        <v>4188</v>
      </c>
      <c r="G240">
        <v>942</v>
      </c>
      <c r="H240">
        <v>118</v>
      </c>
      <c r="I240">
        <v>20940</v>
      </c>
      <c r="J240">
        <v>20471</v>
      </c>
      <c r="K240">
        <v>102</v>
      </c>
      <c r="L240" t="s">
        <v>58</v>
      </c>
      <c r="M240" t="s">
        <v>25</v>
      </c>
      <c r="N240" s="14">
        <v>0.25062082139446035</v>
      </c>
      <c r="O240" s="11">
        <v>45711</v>
      </c>
      <c r="P24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41" spans="1:16" x14ac:dyDescent="0.3">
      <c r="A241" t="s">
        <v>463</v>
      </c>
      <c r="B241" t="s">
        <v>14</v>
      </c>
      <c r="C241" s="11">
        <v>45530</v>
      </c>
      <c r="D241" t="s">
        <v>42</v>
      </c>
      <c r="E241" t="s">
        <v>43</v>
      </c>
      <c r="F241">
        <v>929</v>
      </c>
      <c r="G241">
        <v>192</v>
      </c>
      <c r="H241">
        <v>322</v>
      </c>
      <c r="I241">
        <v>16722</v>
      </c>
      <c r="J241">
        <v>15996</v>
      </c>
      <c r="K241">
        <v>145</v>
      </c>
      <c r="L241" t="s">
        <v>24</v>
      </c>
      <c r="M241" t="s">
        <v>38</v>
      </c>
      <c r="N241" s="14">
        <v>8.6293505561535699E-2</v>
      </c>
      <c r="O241" s="11">
        <v>45529</v>
      </c>
      <c r="P24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42" spans="1:16" x14ac:dyDescent="0.3">
      <c r="A242" t="s">
        <v>464</v>
      </c>
      <c r="B242" t="s">
        <v>40</v>
      </c>
      <c r="C242" s="11">
        <v>45675</v>
      </c>
      <c r="D242" t="s">
        <v>33</v>
      </c>
      <c r="E242" t="s">
        <v>34</v>
      </c>
      <c r="F242">
        <v>4321</v>
      </c>
      <c r="G242">
        <v>874</v>
      </c>
      <c r="H242">
        <v>172</v>
      </c>
      <c r="I242">
        <v>30247</v>
      </c>
      <c r="J242">
        <v>29254</v>
      </c>
      <c r="K242">
        <v>122</v>
      </c>
      <c r="L242" t="s">
        <v>66</v>
      </c>
      <c r="M242" t="s">
        <v>38</v>
      </c>
      <c r="N242" s="14">
        <v>0.17743908486792079</v>
      </c>
      <c r="O242" s="11">
        <v>45669</v>
      </c>
      <c r="P24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43" spans="1:16" x14ac:dyDescent="0.3">
      <c r="A243" t="s">
        <v>466</v>
      </c>
      <c r="B243" t="s">
        <v>40</v>
      </c>
      <c r="C243" s="11">
        <v>45480</v>
      </c>
      <c r="D243" t="s">
        <v>16</v>
      </c>
      <c r="E243" t="s">
        <v>17</v>
      </c>
      <c r="F243">
        <v>4767</v>
      </c>
      <c r="G243">
        <v>190</v>
      </c>
      <c r="H243">
        <v>340</v>
      </c>
      <c r="I243">
        <v>28602</v>
      </c>
      <c r="J243">
        <v>28044</v>
      </c>
      <c r="K243">
        <v>210</v>
      </c>
      <c r="L243" t="s">
        <v>77</v>
      </c>
      <c r="M243" t="s">
        <v>55</v>
      </c>
      <c r="N243" s="14">
        <v>0.18519683938186141</v>
      </c>
      <c r="O243" s="11">
        <v>45480</v>
      </c>
      <c r="P24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44" spans="1:16" x14ac:dyDescent="0.3">
      <c r="A244" t="s">
        <v>467</v>
      </c>
      <c r="B244" t="s">
        <v>14</v>
      </c>
      <c r="C244" s="11">
        <v>45722</v>
      </c>
      <c r="D244" t="s">
        <v>49</v>
      </c>
      <c r="E244" t="s">
        <v>50</v>
      </c>
      <c r="F244">
        <v>3592</v>
      </c>
      <c r="G244">
        <v>911</v>
      </c>
      <c r="H244">
        <v>375</v>
      </c>
      <c r="I244">
        <v>50288</v>
      </c>
      <c r="J244">
        <v>49490</v>
      </c>
      <c r="K244">
        <v>32</v>
      </c>
      <c r="L244" t="s">
        <v>58</v>
      </c>
      <c r="M244" t="s">
        <v>25</v>
      </c>
      <c r="N244" s="14">
        <v>9.7001272669424113E-2</v>
      </c>
      <c r="O244" s="11">
        <v>45718</v>
      </c>
      <c r="P24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45" spans="1:16" x14ac:dyDescent="0.3">
      <c r="A245" t="s">
        <v>469</v>
      </c>
      <c r="B245" t="s">
        <v>576</v>
      </c>
      <c r="C245" s="11">
        <v>45590</v>
      </c>
      <c r="D245" t="s">
        <v>69</v>
      </c>
      <c r="E245" t="s">
        <v>70</v>
      </c>
      <c r="F245">
        <v>4661</v>
      </c>
      <c r="G245">
        <v>935</v>
      </c>
      <c r="H245">
        <v>433</v>
      </c>
      <c r="I245">
        <v>23305</v>
      </c>
      <c r="J245">
        <v>22583</v>
      </c>
      <c r="K245">
        <v>63</v>
      </c>
      <c r="L245" t="s">
        <v>162</v>
      </c>
      <c r="M245" t="s">
        <v>19</v>
      </c>
      <c r="N245" s="14">
        <v>0.25869984981763572</v>
      </c>
      <c r="O245" s="11">
        <v>45585</v>
      </c>
      <c r="P24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46" spans="1:16" x14ac:dyDescent="0.3">
      <c r="A246" t="s">
        <v>471</v>
      </c>
      <c r="B246" t="s">
        <v>40</v>
      </c>
      <c r="C246" s="11">
        <v>45669</v>
      </c>
      <c r="D246" t="s">
        <v>16</v>
      </c>
      <c r="E246" t="s">
        <v>17</v>
      </c>
      <c r="F246">
        <v>4134</v>
      </c>
      <c r="G246">
        <v>824</v>
      </c>
      <c r="H246">
        <v>99</v>
      </c>
      <c r="I246">
        <v>41340</v>
      </c>
      <c r="J246">
        <v>41050</v>
      </c>
      <c r="K246">
        <v>177</v>
      </c>
      <c r="L246" t="s">
        <v>24</v>
      </c>
      <c r="M246" t="s">
        <v>25</v>
      </c>
      <c r="N246" s="14">
        <v>0.12232704402515723</v>
      </c>
      <c r="O246" s="11">
        <v>45669</v>
      </c>
      <c r="P24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47" spans="1:16" x14ac:dyDescent="0.3">
      <c r="A247" t="s">
        <v>473</v>
      </c>
      <c r="B247" t="s">
        <v>40</v>
      </c>
      <c r="C247" s="11">
        <v>45576</v>
      </c>
      <c r="D247" t="s">
        <v>49</v>
      </c>
      <c r="E247" t="s">
        <v>50</v>
      </c>
      <c r="F247">
        <v>400</v>
      </c>
      <c r="G247">
        <v>680</v>
      </c>
      <c r="H247">
        <v>434</v>
      </c>
      <c r="I247">
        <v>6400</v>
      </c>
      <c r="J247">
        <v>5472</v>
      </c>
      <c r="K247">
        <v>160</v>
      </c>
      <c r="L247" t="s">
        <v>102</v>
      </c>
      <c r="M247" t="s">
        <v>25</v>
      </c>
      <c r="N247" s="14">
        <v>0.23656250000000001</v>
      </c>
      <c r="O247" s="11">
        <v>45571</v>
      </c>
      <c r="P24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48" spans="1:16" x14ac:dyDescent="0.3">
      <c r="A248" t="s">
        <v>475</v>
      </c>
      <c r="B248" t="s">
        <v>40</v>
      </c>
      <c r="C248" s="11">
        <v>45531</v>
      </c>
      <c r="D248" t="s">
        <v>16</v>
      </c>
      <c r="E248" t="s">
        <v>17</v>
      </c>
      <c r="F248">
        <v>3960</v>
      </c>
      <c r="G248">
        <v>266</v>
      </c>
      <c r="H248">
        <v>8</v>
      </c>
      <c r="I248">
        <v>35640</v>
      </c>
      <c r="J248">
        <v>34850</v>
      </c>
      <c r="K248">
        <v>208</v>
      </c>
      <c r="L248" t="s">
        <v>105</v>
      </c>
      <c r="M248" t="s">
        <v>55</v>
      </c>
      <c r="N248" s="14">
        <v>0.11879910213243547</v>
      </c>
      <c r="O248" s="11">
        <v>45529</v>
      </c>
      <c r="P24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49" spans="1:16" x14ac:dyDescent="0.3">
      <c r="A249" t="s">
        <v>477</v>
      </c>
      <c r="B249" t="s">
        <v>40</v>
      </c>
      <c r="C249" s="11">
        <v>45690</v>
      </c>
      <c r="D249" t="s">
        <v>33</v>
      </c>
      <c r="E249" t="s">
        <v>34</v>
      </c>
      <c r="F249">
        <v>886</v>
      </c>
      <c r="G249">
        <v>126</v>
      </c>
      <c r="H249">
        <v>153</v>
      </c>
      <c r="I249">
        <v>4430</v>
      </c>
      <c r="J249">
        <v>4037</v>
      </c>
      <c r="K249">
        <v>212</v>
      </c>
      <c r="L249" t="s">
        <v>18</v>
      </c>
      <c r="M249" t="s">
        <v>38</v>
      </c>
      <c r="N249" s="14">
        <v>0.26297968397291194</v>
      </c>
      <c r="O249" s="11">
        <v>45690</v>
      </c>
      <c r="P24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50" spans="1:16" x14ac:dyDescent="0.3">
      <c r="A250" t="s">
        <v>478</v>
      </c>
      <c r="B250" t="s">
        <v>14</v>
      </c>
      <c r="C250" s="11">
        <v>45491</v>
      </c>
      <c r="D250" t="s">
        <v>49</v>
      </c>
      <c r="E250" t="s">
        <v>50</v>
      </c>
      <c r="F250">
        <v>827</v>
      </c>
      <c r="G250">
        <v>77</v>
      </c>
      <c r="H250">
        <v>402</v>
      </c>
      <c r="I250">
        <v>14886</v>
      </c>
      <c r="J250">
        <v>14129</v>
      </c>
      <c r="K250">
        <v>254</v>
      </c>
      <c r="L250" t="s">
        <v>58</v>
      </c>
      <c r="M250" t="s">
        <v>25</v>
      </c>
      <c r="N250" s="14">
        <v>8.7733440816874911E-2</v>
      </c>
      <c r="O250" s="11">
        <v>45487</v>
      </c>
      <c r="P25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51" spans="1:16" x14ac:dyDescent="0.3">
      <c r="A251" t="s">
        <v>479</v>
      </c>
      <c r="B251" t="s">
        <v>40</v>
      </c>
      <c r="C251" s="11">
        <v>45465</v>
      </c>
      <c r="D251" t="s">
        <v>16</v>
      </c>
      <c r="E251" t="s">
        <v>17</v>
      </c>
      <c r="F251">
        <v>3813</v>
      </c>
      <c r="G251">
        <v>935</v>
      </c>
      <c r="H251">
        <v>274</v>
      </c>
      <c r="I251">
        <v>68634</v>
      </c>
      <c r="J251">
        <v>68488</v>
      </c>
      <c r="K251">
        <v>251</v>
      </c>
      <c r="L251" t="s">
        <v>178</v>
      </c>
      <c r="M251" t="s">
        <v>19</v>
      </c>
      <c r="N251" s="14">
        <v>7.3170731707317069E-2</v>
      </c>
      <c r="O251" s="11">
        <v>45459</v>
      </c>
      <c r="P25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52" spans="1:16" x14ac:dyDescent="0.3">
      <c r="A252" t="s">
        <v>480</v>
      </c>
      <c r="B252" t="s">
        <v>31</v>
      </c>
      <c r="C252" s="11">
        <v>45743</v>
      </c>
      <c r="D252" t="s">
        <v>42</v>
      </c>
      <c r="E252" t="s">
        <v>43</v>
      </c>
      <c r="F252">
        <v>1377</v>
      </c>
      <c r="G252">
        <v>796</v>
      </c>
      <c r="H252">
        <v>387</v>
      </c>
      <c r="I252">
        <v>22032</v>
      </c>
      <c r="J252">
        <v>21869</v>
      </c>
      <c r="K252">
        <v>189</v>
      </c>
      <c r="L252" t="s">
        <v>144</v>
      </c>
      <c r="M252" t="s">
        <v>38</v>
      </c>
      <c r="N252" s="14">
        <v>0.11619462599854757</v>
      </c>
      <c r="O252" s="11">
        <v>45739</v>
      </c>
      <c r="P25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53" spans="1:16" x14ac:dyDescent="0.3">
      <c r="A253" t="s">
        <v>482</v>
      </c>
      <c r="B253" t="s">
        <v>40</v>
      </c>
      <c r="C253" s="11">
        <v>45775</v>
      </c>
      <c r="D253" t="s">
        <v>42</v>
      </c>
      <c r="E253" t="s">
        <v>43</v>
      </c>
      <c r="F253">
        <v>2089</v>
      </c>
      <c r="G253">
        <v>476</v>
      </c>
      <c r="H253">
        <v>69</v>
      </c>
      <c r="I253">
        <v>16712</v>
      </c>
      <c r="J253">
        <v>16309</v>
      </c>
      <c r="K253">
        <v>64</v>
      </c>
      <c r="L253" t="s">
        <v>61</v>
      </c>
      <c r="M253" t="s">
        <v>19</v>
      </c>
      <c r="N253" s="14">
        <v>0.15761129727142173</v>
      </c>
      <c r="O253" s="11">
        <v>45774</v>
      </c>
      <c r="P25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54" spans="1:16" x14ac:dyDescent="0.3">
      <c r="A254" t="s">
        <v>483</v>
      </c>
      <c r="B254" t="s">
        <v>14</v>
      </c>
      <c r="C254" s="11">
        <v>45507</v>
      </c>
      <c r="D254" t="s">
        <v>16</v>
      </c>
      <c r="E254" t="s">
        <v>17</v>
      </c>
      <c r="F254">
        <v>3791</v>
      </c>
      <c r="G254">
        <v>593</v>
      </c>
      <c r="H254">
        <v>228</v>
      </c>
      <c r="I254">
        <v>53074</v>
      </c>
      <c r="J254">
        <v>52613</v>
      </c>
      <c r="K254">
        <v>205</v>
      </c>
      <c r="L254" t="s">
        <v>162</v>
      </c>
      <c r="M254" t="s">
        <v>19</v>
      </c>
      <c r="N254" s="14">
        <v>8.6897539284772202E-2</v>
      </c>
      <c r="O254" s="11">
        <v>45501</v>
      </c>
      <c r="P25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55" spans="1:16" x14ac:dyDescent="0.3">
      <c r="A255" t="s">
        <v>485</v>
      </c>
      <c r="B255" t="s">
        <v>14</v>
      </c>
      <c r="C255" s="11">
        <v>45671</v>
      </c>
      <c r="D255" t="s">
        <v>49</v>
      </c>
      <c r="E255" t="s">
        <v>50</v>
      </c>
      <c r="F255">
        <v>2692</v>
      </c>
      <c r="G255">
        <v>115</v>
      </c>
      <c r="H255">
        <v>64</v>
      </c>
      <c r="I255">
        <v>21536</v>
      </c>
      <c r="J255">
        <v>21120</v>
      </c>
      <c r="K255">
        <v>224</v>
      </c>
      <c r="L255" t="s">
        <v>178</v>
      </c>
      <c r="M255" t="s">
        <v>55</v>
      </c>
      <c r="N255" s="14">
        <v>0.13331166419019316</v>
      </c>
      <c r="O255" s="11">
        <v>45669</v>
      </c>
      <c r="P25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56" spans="1:16" x14ac:dyDescent="0.3">
      <c r="A256" t="s">
        <v>487</v>
      </c>
      <c r="B256" t="s">
        <v>40</v>
      </c>
      <c r="C256" s="11">
        <v>45750</v>
      </c>
      <c r="D256" t="s">
        <v>33</v>
      </c>
      <c r="E256" t="s">
        <v>34</v>
      </c>
      <c r="F256">
        <v>3767</v>
      </c>
      <c r="G256">
        <v>514</v>
      </c>
      <c r="H256">
        <v>238</v>
      </c>
      <c r="I256">
        <v>37670</v>
      </c>
      <c r="J256">
        <v>36807</v>
      </c>
      <c r="K256">
        <v>226</v>
      </c>
      <c r="L256" t="s">
        <v>162</v>
      </c>
      <c r="M256" t="s">
        <v>19</v>
      </c>
      <c r="N256" s="14">
        <v>0.11996283514733209</v>
      </c>
      <c r="O256" s="11">
        <v>45746</v>
      </c>
      <c r="P25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57" spans="1:16" x14ac:dyDescent="0.3">
      <c r="A257" t="s">
        <v>488</v>
      </c>
      <c r="B257" t="s">
        <v>576</v>
      </c>
      <c r="C257" s="11">
        <v>45553</v>
      </c>
      <c r="D257" t="s">
        <v>42</v>
      </c>
      <c r="E257" t="s">
        <v>43</v>
      </c>
      <c r="F257">
        <v>2143</v>
      </c>
      <c r="G257">
        <v>12</v>
      </c>
      <c r="H257">
        <v>204</v>
      </c>
      <c r="I257">
        <v>40717</v>
      </c>
      <c r="J257">
        <v>40125</v>
      </c>
      <c r="K257">
        <v>248</v>
      </c>
      <c r="L257" t="s">
        <v>127</v>
      </c>
      <c r="M257" t="s">
        <v>55</v>
      </c>
      <c r="N257" s="14">
        <v>5.7936488444630008E-2</v>
      </c>
      <c r="O257" s="11">
        <v>45550</v>
      </c>
      <c r="P25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58" spans="1:16" x14ac:dyDescent="0.3">
      <c r="A258" t="s">
        <v>489</v>
      </c>
      <c r="B258" t="s">
        <v>40</v>
      </c>
      <c r="C258" s="11">
        <v>45753</v>
      </c>
      <c r="D258" t="s">
        <v>49</v>
      </c>
      <c r="E258" t="s">
        <v>50</v>
      </c>
      <c r="F258">
        <v>3090</v>
      </c>
      <c r="G258">
        <v>697</v>
      </c>
      <c r="H258">
        <v>164</v>
      </c>
      <c r="I258">
        <v>49440</v>
      </c>
      <c r="J258">
        <v>48524</v>
      </c>
      <c r="K258">
        <v>25</v>
      </c>
      <c r="L258" t="s">
        <v>264</v>
      </c>
      <c r="M258" t="s">
        <v>55</v>
      </c>
      <c r="N258" s="14">
        <v>7.9915048543689318E-2</v>
      </c>
      <c r="O258" s="11">
        <v>45753</v>
      </c>
      <c r="P25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59" spans="1:16" x14ac:dyDescent="0.3">
      <c r="A259" t="s">
        <v>490</v>
      </c>
      <c r="B259" t="s">
        <v>31</v>
      </c>
      <c r="C259" s="11">
        <v>45509</v>
      </c>
      <c r="D259" t="s">
        <v>33</v>
      </c>
      <c r="E259" t="s">
        <v>34</v>
      </c>
      <c r="F259">
        <v>3601</v>
      </c>
      <c r="G259">
        <v>695</v>
      </c>
      <c r="H259">
        <v>75</v>
      </c>
      <c r="I259">
        <v>21606</v>
      </c>
      <c r="J259">
        <v>21454</v>
      </c>
      <c r="K259">
        <v>172</v>
      </c>
      <c r="L259" t="s">
        <v>58</v>
      </c>
      <c r="M259" t="s">
        <v>25</v>
      </c>
      <c r="N259" s="14">
        <v>0.2023049153013052</v>
      </c>
      <c r="O259" s="11">
        <v>45508</v>
      </c>
      <c r="P25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60" spans="1:16" x14ac:dyDescent="0.3">
      <c r="A260" t="s">
        <v>492</v>
      </c>
      <c r="B260" t="s">
        <v>40</v>
      </c>
      <c r="C260" s="11">
        <v>45698</v>
      </c>
      <c r="D260" t="s">
        <v>22</v>
      </c>
      <c r="E260" t="s">
        <v>23</v>
      </c>
      <c r="F260">
        <v>562</v>
      </c>
      <c r="G260">
        <v>158</v>
      </c>
      <c r="H260">
        <v>149</v>
      </c>
      <c r="I260">
        <v>3372</v>
      </c>
      <c r="J260">
        <v>2940</v>
      </c>
      <c r="K260">
        <v>93</v>
      </c>
      <c r="L260" t="s">
        <v>127</v>
      </c>
      <c r="M260" t="s">
        <v>55</v>
      </c>
      <c r="N260" s="14">
        <v>0.25771055753262156</v>
      </c>
      <c r="O260" s="11">
        <v>45697</v>
      </c>
      <c r="P26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61" spans="1:16" x14ac:dyDescent="0.3">
      <c r="A261" t="s">
        <v>493</v>
      </c>
      <c r="B261" t="s">
        <v>31</v>
      </c>
      <c r="C261" s="11">
        <v>45700</v>
      </c>
      <c r="D261" t="s">
        <v>33</v>
      </c>
      <c r="E261" t="s">
        <v>34</v>
      </c>
      <c r="F261">
        <v>4332</v>
      </c>
      <c r="G261">
        <v>771</v>
      </c>
      <c r="H261">
        <v>219</v>
      </c>
      <c r="I261">
        <v>60648</v>
      </c>
      <c r="J261">
        <v>60397</v>
      </c>
      <c r="K261">
        <v>10</v>
      </c>
      <c r="L261" t="s">
        <v>24</v>
      </c>
      <c r="M261" t="s">
        <v>38</v>
      </c>
      <c r="N261" s="14">
        <v>8.7752275425405618E-2</v>
      </c>
      <c r="O261" s="11">
        <v>45697</v>
      </c>
      <c r="P26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62" spans="1:16" x14ac:dyDescent="0.3">
      <c r="A262" t="s">
        <v>495</v>
      </c>
      <c r="B262" t="s">
        <v>31</v>
      </c>
      <c r="C262" s="11">
        <v>45592</v>
      </c>
      <c r="D262" t="s">
        <v>49</v>
      </c>
      <c r="E262" t="s">
        <v>50</v>
      </c>
      <c r="F262">
        <v>4853</v>
      </c>
      <c r="G262">
        <v>837</v>
      </c>
      <c r="H262">
        <v>340</v>
      </c>
      <c r="I262">
        <v>72795</v>
      </c>
      <c r="J262">
        <v>72237</v>
      </c>
      <c r="K262">
        <v>170</v>
      </c>
      <c r="L262" t="s">
        <v>18</v>
      </c>
      <c r="M262" t="s">
        <v>25</v>
      </c>
      <c r="N262" s="14">
        <v>8.2835359571399134E-2</v>
      </c>
      <c r="O262" s="11">
        <v>45592</v>
      </c>
      <c r="P26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63" spans="1:16" x14ac:dyDescent="0.3">
      <c r="A263" t="s">
        <v>497</v>
      </c>
      <c r="B263" t="s">
        <v>576</v>
      </c>
      <c r="C263" s="11">
        <v>45675</v>
      </c>
      <c r="D263" t="s">
        <v>49</v>
      </c>
      <c r="E263" t="s">
        <v>50</v>
      </c>
      <c r="F263">
        <v>1206</v>
      </c>
      <c r="G263">
        <v>238</v>
      </c>
      <c r="H263">
        <v>36</v>
      </c>
      <c r="I263">
        <v>9648</v>
      </c>
      <c r="J263">
        <v>9417</v>
      </c>
      <c r="K263">
        <v>237</v>
      </c>
      <c r="L263" t="s">
        <v>82</v>
      </c>
      <c r="M263" t="s">
        <v>38</v>
      </c>
      <c r="N263" s="14">
        <v>0.15339966832504145</v>
      </c>
      <c r="O263" s="11">
        <v>45669</v>
      </c>
      <c r="P26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64" spans="1:16" x14ac:dyDescent="0.3">
      <c r="A264" t="s">
        <v>498</v>
      </c>
      <c r="B264" t="s">
        <v>31</v>
      </c>
      <c r="C264" s="11">
        <v>45524</v>
      </c>
      <c r="D264" t="s">
        <v>16</v>
      </c>
      <c r="E264" t="s">
        <v>17</v>
      </c>
      <c r="F264">
        <v>2603</v>
      </c>
      <c r="G264">
        <v>690</v>
      </c>
      <c r="H264">
        <v>205</v>
      </c>
      <c r="I264">
        <v>13015</v>
      </c>
      <c r="J264">
        <v>12130</v>
      </c>
      <c r="K264">
        <v>20</v>
      </c>
      <c r="L264" t="s">
        <v>44</v>
      </c>
      <c r="M264" t="s">
        <v>19</v>
      </c>
      <c r="N264" s="14">
        <v>0.26876680752977333</v>
      </c>
      <c r="O264" s="11">
        <v>45522</v>
      </c>
      <c r="P26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65" spans="1:16" x14ac:dyDescent="0.3">
      <c r="A265" t="s">
        <v>500</v>
      </c>
      <c r="B265" t="s">
        <v>14</v>
      </c>
      <c r="C265" s="11">
        <v>45687</v>
      </c>
      <c r="D265" t="s">
        <v>49</v>
      </c>
      <c r="E265" t="s">
        <v>50</v>
      </c>
      <c r="F265">
        <v>59</v>
      </c>
      <c r="G265">
        <v>163</v>
      </c>
      <c r="H265">
        <v>93</v>
      </c>
      <c r="I265">
        <v>590</v>
      </c>
      <c r="J265">
        <v>475</v>
      </c>
      <c r="K265">
        <v>293</v>
      </c>
      <c r="L265" t="s">
        <v>44</v>
      </c>
      <c r="M265" t="s">
        <v>55</v>
      </c>
      <c r="N265" s="14">
        <v>0.53389830508474578</v>
      </c>
      <c r="O265" s="11">
        <v>45683</v>
      </c>
      <c r="P26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66" spans="1:16" x14ac:dyDescent="0.3">
      <c r="A266" t="s">
        <v>502</v>
      </c>
      <c r="B266" t="s">
        <v>14</v>
      </c>
      <c r="C266" s="11">
        <v>45708</v>
      </c>
      <c r="D266" t="s">
        <v>42</v>
      </c>
      <c r="E266" t="s">
        <v>43</v>
      </c>
      <c r="F266">
        <v>1877</v>
      </c>
      <c r="G266">
        <v>745</v>
      </c>
      <c r="H266">
        <v>225</v>
      </c>
      <c r="I266">
        <v>11262</v>
      </c>
      <c r="J266">
        <v>10967</v>
      </c>
      <c r="K266">
        <v>41</v>
      </c>
      <c r="L266" t="s">
        <v>61</v>
      </c>
      <c r="M266" t="s">
        <v>19</v>
      </c>
      <c r="N266" s="14">
        <v>0.25279701651571657</v>
      </c>
      <c r="O266" s="11">
        <v>45704</v>
      </c>
      <c r="P26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67" spans="1:16" x14ac:dyDescent="0.3">
      <c r="A267" t="s">
        <v>504</v>
      </c>
      <c r="B267" t="s">
        <v>40</v>
      </c>
      <c r="C267" s="11">
        <v>45621</v>
      </c>
      <c r="D267" t="s">
        <v>33</v>
      </c>
      <c r="E267" t="s">
        <v>34</v>
      </c>
      <c r="F267">
        <v>4182</v>
      </c>
      <c r="G267">
        <v>640</v>
      </c>
      <c r="H267">
        <v>240</v>
      </c>
      <c r="I267">
        <v>50184</v>
      </c>
      <c r="J267">
        <v>49351</v>
      </c>
      <c r="K267">
        <v>10</v>
      </c>
      <c r="L267" t="s">
        <v>82</v>
      </c>
      <c r="M267" t="s">
        <v>38</v>
      </c>
      <c r="N267" s="14">
        <v>0.10086880280567512</v>
      </c>
      <c r="O267" s="11">
        <v>45620</v>
      </c>
      <c r="P26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68" spans="1:16" x14ac:dyDescent="0.3">
      <c r="A268" t="s">
        <v>505</v>
      </c>
      <c r="B268" t="s">
        <v>14</v>
      </c>
      <c r="C268" s="11">
        <v>45569</v>
      </c>
      <c r="D268" t="s">
        <v>16</v>
      </c>
      <c r="E268" t="s">
        <v>17</v>
      </c>
      <c r="F268">
        <v>4187</v>
      </c>
      <c r="G268">
        <v>66</v>
      </c>
      <c r="H268">
        <v>31</v>
      </c>
      <c r="I268">
        <v>66992</v>
      </c>
      <c r="J268">
        <v>66614</v>
      </c>
      <c r="K268">
        <v>62</v>
      </c>
      <c r="L268" t="s">
        <v>58</v>
      </c>
      <c r="M268" t="s">
        <v>55</v>
      </c>
      <c r="N268" s="14">
        <v>6.3947934081681396E-2</v>
      </c>
      <c r="O268" s="11">
        <v>45564</v>
      </c>
      <c r="P26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69" spans="1:16" x14ac:dyDescent="0.3">
      <c r="A269" t="s">
        <v>506</v>
      </c>
      <c r="B269" t="s">
        <v>31</v>
      </c>
      <c r="C269" s="11">
        <v>45760</v>
      </c>
      <c r="D269" t="s">
        <v>16</v>
      </c>
      <c r="E269" t="s">
        <v>17</v>
      </c>
      <c r="F269">
        <v>4579</v>
      </c>
      <c r="G269">
        <v>125</v>
      </c>
      <c r="H269">
        <v>300</v>
      </c>
      <c r="I269">
        <v>59527</v>
      </c>
      <c r="J269">
        <v>59400</v>
      </c>
      <c r="K269">
        <v>269</v>
      </c>
      <c r="L269" t="s">
        <v>37</v>
      </c>
      <c r="M269" t="s">
        <v>19</v>
      </c>
      <c r="N269" s="14">
        <v>8.4062694239588759E-2</v>
      </c>
      <c r="O269" s="11">
        <v>45760</v>
      </c>
      <c r="P26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70" spans="1:16" x14ac:dyDescent="0.3">
      <c r="A270" t="s">
        <v>508</v>
      </c>
      <c r="B270" t="s">
        <v>31</v>
      </c>
      <c r="C270" s="11">
        <v>45601</v>
      </c>
      <c r="D270" t="s">
        <v>69</v>
      </c>
      <c r="E270" t="s">
        <v>70</v>
      </c>
      <c r="F270">
        <v>4561</v>
      </c>
      <c r="G270">
        <v>51</v>
      </c>
      <c r="H270">
        <v>441</v>
      </c>
      <c r="I270">
        <v>22805</v>
      </c>
      <c r="J270">
        <v>21890</v>
      </c>
      <c r="K270">
        <v>45</v>
      </c>
      <c r="L270" t="s">
        <v>58</v>
      </c>
      <c r="M270" t="s">
        <v>25</v>
      </c>
      <c r="N270" s="14">
        <v>0.22157421618066214</v>
      </c>
      <c r="O270" s="11">
        <v>45599</v>
      </c>
      <c r="P27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71" spans="1:16" x14ac:dyDescent="0.3">
      <c r="A271" t="s">
        <v>510</v>
      </c>
      <c r="B271" t="s">
        <v>576</v>
      </c>
      <c r="C271" s="11">
        <v>45672</v>
      </c>
      <c r="D271" t="s">
        <v>16</v>
      </c>
      <c r="E271" t="s">
        <v>17</v>
      </c>
      <c r="F271">
        <v>3774</v>
      </c>
      <c r="G271">
        <v>239</v>
      </c>
      <c r="H271">
        <v>39</v>
      </c>
      <c r="I271">
        <v>60384</v>
      </c>
      <c r="J271">
        <v>59490</v>
      </c>
      <c r="K271">
        <v>241</v>
      </c>
      <c r="L271" t="s">
        <v>77</v>
      </c>
      <c r="M271" t="s">
        <v>38</v>
      </c>
      <c r="N271" s="14">
        <v>6.7103868574456813E-2</v>
      </c>
      <c r="O271" s="11">
        <v>45669</v>
      </c>
      <c r="P27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72" spans="1:16" x14ac:dyDescent="0.3">
      <c r="A272" t="s">
        <v>511</v>
      </c>
      <c r="B272" t="s">
        <v>31</v>
      </c>
      <c r="C272" s="11">
        <v>45582</v>
      </c>
      <c r="D272" t="s">
        <v>69</v>
      </c>
      <c r="E272" t="s">
        <v>70</v>
      </c>
      <c r="F272">
        <v>3575</v>
      </c>
      <c r="G272">
        <v>749</v>
      </c>
      <c r="H272">
        <v>111</v>
      </c>
      <c r="I272">
        <v>21450</v>
      </c>
      <c r="J272">
        <v>20785</v>
      </c>
      <c r="K272">
        <v>195</v>
      </c>
      <c r="L272" t="s">
        <v>77</v>
      </c>
      <c r="M272" t="s">
        <v>38</v>
      </c>
      <c r="N272" s="14">
        <v>0.20675990675990677</v>
      </c>
      <c r="O272" s="11">
        <v>45578</v>
      </c>
      <c r="P27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73" spans="1:16" x14ac:dyDescent="0.3">
      <c r="A273" t="s">
        <v>513</v>
      </c>
      <c r="B273" t="s">
        <v>31</v>
      </c>
      <c r="C273" s="11">
        <v>45743</v>
      </c>
      <c r="D273" t="s">
        <v>22</v>
      </c>
      <c r="E273" t="s">
        <v>23</v>
      </c>
      <c r="F273">
        <v>4941</v>
      </c>
      <c r="G273">
        <v>414</v>
      </c>
      <c r="H273">
        <v>266</v>
      </c>
      <c r="I273">
        <v>39528</v>
      </c>
      <c r="J273">
        <v>39154</v>
      </c>
      <c r="K273">
        <v>217</v>
      </c>
      <c r="L273" t="s">
        <v>18</v>
      </c>
      <c r="M273" t="s">
        <v>25</v>
      </c>
      <c r="N273" s="14">
        <v>0.14220299534507186</v>
      </c>
      <c r="O273" s="11">
        <v>45739</v>
      </c>
      <c r="P27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74" spans="1:16" x14ac:dyDescent="0.3">
      <c r="A274" t="s">
        <v>514</v>
      </c>
      <c r="B274" t="s">
        <v>576</v>
      </c>
      <c r="C274" s="11">
        <v>45577</v>
      </c>
      <c r="D274" t="s">
        <v>33</v>
      </c>
      <c r="E274" t="s">
        <v>34</v>
      </c>
      <c r="F274">
        <v>3641</v>
      </c>
      <c r="G274">
        <v>226</v>
      </c>
      <c r="H274">
        <v>46</v>
      </c>
      <c r="I274">
        <v>40051</v>
      </c>
      <c r="J274">
        <v>39319</v>
      </c>
      <c r="K274">
        <v>296</v>
      </c>
      <c r="L274" t="s">
        <v>44</v>
      </c>
      <c r="M274" t="s">
        <v>25</v>
      </c>
      <c r="N274" s="14">
        <v>9.7700431949264685E-2</v>
      </c>
      <c r="O274" s="11">
        <v>45571</v>
      </c>
      <c r="P27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75" spans="1:16" x14ac:dyDescent="0.3">
      <c r="A275" t="s">
        <v>516</v>
      </c>
      <c r="B275" t="s">
        <v>14</v>
      </c>
      <c r="C275" s="11">
        <v>45658</v>
      </c>
      <c r="D275" t="s">
        <v>42</v>
      </c>
      <c r="E275" t="s">
        <v>43</v>
      </c>
      <c r="F275">
        <v>3535</v>
      </c>
      <c r="G275">
        <v>494</v>
      </c>
      <c r="H275">
        <v>152</v>
      </c>
      <c r="I275">
        <v>53025</v>
      </c>
      <c r="J275">
        <v>52791</v>
      </c>
      <c r="K275">
        <v>44</v>
      </c>
      <c r="L275" t="s">
        <v>214</v>
      </c>
      <c r="M275" t="s">
        <v>25</v>
      </c>
      <c r="N275" s="14">
        <v>7.8849599245638849E-2</v>
      </c>
      <c r="O275" s="11">
        <v>45655</v>
      </c>
      <c r="P27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76" spans="1:16" x14ac:dyDescent="0.3">
      <c r="A276" t="s">
        <v>517</v>
      </c>
      <c r="B276" t="s">
        <v>40</v>
      </c>
      <c r="C276" s="11">
        <v>45509</v>
      </c>
      <c r="D276" t="s">
        <v>16</v>
      </c>
      <c r="E276" t="s">
        <v>17</v>
      </c>
      <c r="F276">
        <v>1741</v>
      </c>
      <c r="G276">
        <v>831</v>
      </c>
      <c r="H276">
        <v>345</v>
      </c>
      <c r="I276">
        <v>17410</v>
      </c>
      <c r="J276">
        <v>16844</v>
      </c>
      <c r="K276">
        <v>58</v>
      </c>
      <c r="L276" t="s">
        <v>71</v>
      </c>
      <c r="M276" t="s">
        <v>55</v>
      </c>
      <c r="N276" s="14">
        <v>0.16754738655944859</v>
      </c>
      <c r="O276" s="11">
        <v>45508</v>
      </c>
      <c r="P27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77" spans="1:16" x14ac:dyDescent="0.3">
      <c r="A277" t="s">
        <v>518</v>
      </c>
      <c r="B277" t="s">
        <v>14</v>
      </c>
      <c r="C277" s="11">
        <v>45450</v>
      </c>
      <c r="D277" t="s">
        <v>42</v>
      </c>
      <c r="E277" t="s">
        <v>43</v>
      </c>
      <c r="F277">
        <v>1556</v>
      </c>
      <c r="G277">
        <v>195</v>
      </c>
      <c r="H277">
        <v>131</v>
      </c>
      <c r="I277">
        <v>9336</v>
      </c>
      <c r="J277">
        <v>8875</v>
      </c>
      <c r="K277">
        <v>137</v>
      </c>
      <c r="L277" t="s">
        <v>24</v>
      </c>
      <c r="M277" t="s">
        <v>25</v>
      </c>
      <c r="N277" s="14">
        <v>0.2015852613538989</v>
      </c>
      <c r="O277" s="11">
        <v>45445</v>
      </c>
      <c r="P27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78" spans="1:16" x14ac:dyDescent="0.3">
      <c r="A278" t="s">
        <v>520</v>
      </c>
      <c r="B278" t="s">
        <v>40</v>
      </c>
      <c r="C278" s="11">
        <v>45753</v>
      </c>
      <c r="D278" t="s">
        <v>49</v>
      </c>
      <c r="E278" t="s">
        <v>50</v>
      </c>
      <c r="F278">
        <v>4236</v>
      </c>
      <c r="G278">
        <v>711</v>
      </c>
      <c r="H278">
        <v>298</v>
      </c>
      <c r="I278">
        <v>21180</v>
      </c>
      <c r="J278">
        <v>20516</v>
      </c>
      <c r="K278">
        <v>238</v>
      </c>
      <c r="L278" t="s">
        <v>209</v>
      </c>
      <c r="M278" t="s">
        <v>55</v>
      </c>
      <c r="N278" s="14">
        <v>0.24763928234183191</v>
      </c>
      <c r="O278" s="11">
        <v>45753</v>
      </c>
      <c r="P27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79" spans="1:16" x14ac:dyDescent="0.3">
      <c r="A279" t="s">
        <v>521</v>
      </c>
      <c r="B279" t="s">
        <v>14</v>
      </c>
      <c r="C279" s="11">
        <v>45622</v>
      </c>
      <c r="D279" t="s">
        <v>22</v>
      </c>
      <c r="E279" t="s">
        <v>23</v>
      </c>
      <c r="F279">
        <v>4516</v>
      </c>
      <c r="G279">
        <v>836</v>
      </c>
      <c r="H279">
        <v>169</v>
      </c>
      <c r="I279">
        <v>49676</v>
      </c>
      <c r="J279">
        <v>49257</v>
      </c>
      <c r="K279">
        <v>282</v>
      </c>
      <c r="L279" t="s">
        <v>44</v>
      </c>
      <c r="M279" t="s">
        <v>19</v>
      </c>
      <c r="N279" s="14">
        <v>0.11114018842096787</v>
      </c>
      <c r="O279" s="11">
        <v>45620</v>
      </c>
      <c r="P27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80" spans="1:16" x14ac:dyDescent="0.3">
      <c r="A280" t="s">
        <v>523</v>
      </c>
      <c r="B280" t="s">
        <v>576</v>
      </c>
      <c r="C280" s="11">
        <v>45537</v>
      </c>
      <c r="D280" t="s">
        <v>49</v>
      </c>
      <c r="E280" t="s">
        <v>50</v>
      </c>
      <c r="F280">
        <v>4905</v>
      </c>
      <c r="G280">
        <v>845</v>
      </c>
      <c r="H280">
        <v>129</v>
      </c>
      <c r="I280">
        <v>98100</v>
      </c>
      <c r="J280">
        <v>97772</v>
      </c>
      <c r="K280">
        <v>279</v>
      </c>
      <c r="L280" t="s">
        <v>44</v>
      </c>
      <c r="M280" t="s">
        <v>55</v>
      </c>
      <c r="N280" s="14">
        <v>5.9928644240570844E-2</v>
      </c>
      <c r="O280" s="11">
        <v>45536</v>
      </c>
      <c r="P28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81" spans="1:16" x14ac:dyDescent="0.3">
      <c r="A281" t="s">
        <v>524</v>
      </c>
      <c r="B281" t="s">
        <v>576</v>
      </c>
      <c r="C281" s="11">
        <v>45586</v>
      </c>
      <c r="D281" t="s">
        <v>69</v>
      </c>
      <c r="E281" t="s">
        <v>70</v>
      </c>
      <c r="F281">
        <v>4275</v>
      </c>
      <c r="G281">
        <v>680</v>
      </c>
      <c r="H281">
        <v>385</v>
      </c>
      <c r="I281">
        <v>64125</v>
      </c>
      <c r="J281">
        <v>63650</v>
      </c>
      <c r="K281">
        <v>104</v>
      </c>
      <c r="L281" t="s">
        <v>58</v>
      </c>
      <c r="M281" t="s">
        <v>55</v>
      </c>
      <c r="N281" s="14">
        <v>8.3274853801169585E-2</v>
      </c>
      <c r="O281" s="11">
        <v>45585</v>
      </c>
      <c r="P28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82" spans="1:16" x14ac:dyDescent="0.3">
      <c r="A282" t="s">
        <v>525</v>
      </c>
      <c r="B282" t="s">
        <v>576</v>
      </c>
      <c r="C282" s="11">
        <v>45738</v>
      </c>
      <c r="D282" t="s">
        <v>49</v>
      </c>
      <c r="E282" t="s">
        <v>50</v>
      </c>
      <c r="F282">
        <v>3166</v>
      </c>
      <c r="G282">
        <v>90</v>
      </c>
      <c r="H282">
        <v>341</v>
      </c>
      <c r="I282">
        <v>56988</v>
      </c>
      <c r="J282">
        <v>56125</v>
      </c>
      <c r="K282">
        <v>135</v>
      </c>
      <c r="L282" t="s">
        <v>146</v>
      </c>
      <c r="M282" t="s">
        <v>25</v>
      </c>
      <c r="N282" s="14">
        <v>6.3118551273952411E-2</v>
      </c>
      <c r="O282" s="11">
        <v>45732</v>
      </c>
      <c r="P28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83" spans="1:16" x14ac:dyDescent="0.3">
      <c r="A283" t="s">
        <v>527</v>
      </c>
      <c r="B283" t="s">
        <v>31</v>
      </c>
      <c r="C283" s="11">
        <v>45568</v>
      </c>
      <c r="D283" t="s">
        <v>69</v>
      </c>
      <c r="E283" t="s">
        <v>70</v>
      </c>
      <c r="F283">
        <v>1488</v>
      </c>
      <c r="G283">
        <v>417</v>
      </c>
      <c r="H283">
        <v>168</v>
      </c>
      <c r="I283">
        <v>19344</v>
      </c>
      <c r="J283">
        <v>18395</v>
      </c>
      <c r="K283">
        <v>30</v>
      </c>
      <c r="L283" t="s">
        <v>18</v>
      </c>
      <c r="M283" t="s">
        <v>19</v>
      </c>
      <c r="N283" s="14">
        <v>0.1071650124069479</v>
      </c>
      <c r="O283" s="11">
        <v>45564</v>
      </c>
      <c r="P28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84" spans="1:16" x14ac:dyDescent="0.3">
      <c r="A284" t="s">
        <v>529</v>
      </c>
      <c r="B284" t="s">
        <v>14</v>
      </c>
      <c r="C284" s="11">
        <v>45786</v>
      </c>
      <c r="D284" t="s">
        <v>16</v>
      </c>
      <c r="E284" t="s">
        <v>17</v>
      </c>
      <c r="F284">
        <v>3367</v>
      </c>
      <c r="G284">
        <v>302</v>
      </c>
      <c r="H284">
        <v>57</v>
      </c>
      <c r="I284">
        <v>63973</v>
      </c>
      <c r="J284">
        <v>63789</v>
      </c>
      <c r="K284">
        <v>157</v>
      </c>
      <c r="L284" t="s">
        <v>105</v>
      </c>
      <c r="M284" t="s">
        <v>38</v>
      </c>
      <c r="N284" s="14">
        <v>5.8243321401216137E-2</v>
      </c>
      <c r="O284" s="11">
        <v>45781</v>
      </c>
      <c r="P28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85" spans="1:16" x14ac:dyDescent="0.3">
      <c r="A285" t="s">
        <v>531</v>
      </c>
      <c r="B285" t="s">
        <v>14</v>
      </c>
      <c r="C285" s="11">
        <v>45552</v>
      </c>
      <c r="D285" t="s">
        <v>22</v>
      </c>
      <c r="E285" t="s">
        <v>23</v>
      </c>
      <c r="F285">
        <v>571</v>
      </c>
      <c r="G285">
        <v>190</v>
      </c>
      <c r="H285">
        <v>352</v>
      </c>
      <c r="I285">
        <v>9707</v>
      </c>
      <c r="J285">
        <v>9418</v>
      </c>
      <c r="K285">
        <v>231</v>
      </c>
      <c r="L285" t="s">
        <v>77</v>
      </c>
      <c r="M285" t="s">
        <v>25</v>
      </c>
      <c r="N285" s="14">
        <v>0.11465952405480581</v>
      </c>
      <c r="O285" s="11">
        <v>45550</v>
      </c>
      <c r="P28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86" spans="1:16" x14ac:dyDescent="0.3">
      <c r="A286" t="s">
        <v>532</v>
      </c>
      <c r="B286" t="s">
        <v>576</v>
      </c>
      <c r="C286" s="11">
        <v>45491</v>
      </c>
      <c r="D286" t="s">
        <v>22</v>
      </c>
      <c r="E286" t="s">
        <v>23</v>
      </c>
      <c r="F286">
        <v>4021</v>
      </c>
      <c r="G286">
        <v>794</v>
      </c>
      <c r="H286">
        <v>77</v>
      </c>
      <c r="I286">
        <v>36189</v>
      </c>
      <c r="J286">
        <v>35505</v>
      </c>
      <c r="K286">
        <v>174</v>
      </c>
      <c r="L286" t="s">
        <v>264</v>
      </c>
      <c r="M286" t="s">
        <v>19</v>
      </c>
      <c r="N286" s="14">
        <v>0.13517919809886983</v>
      </c>
      <c r="O286" s="11">
        <v>45487</v>
      </c>
      <c r="P28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87" spans="1:16" x14ac:dyDescent="0.3">
      <c r="A287" t="s">
        <v>533</v>
      </c>
      <c r="B287" t="s">
        <v>576</v>
      </c>
      <c r="C287" s="11">
        <v>45560</v>
      </c>
      <c r="D287" t="s">
        <v>69</v>
      </c>
      <c r="E287" t="s">
        <v>70</v>
      </c>
      <c r="F287">
        <v>3389</v>
      </c>
      <c r="G287">
        <v>344</v>
      </c>
      <c r="H287">
        <v>229</v>
      </c>
      <c r="I287">
        <v>20334</v>
      </c>
      <c r="J287">
        <v>19443</v>
      </c>
      <c r="K287">
        <v>228</v>
      </c>
      <c r="L287" t="s">
        <v>29</v>
      </c>
      <c r="M287" t="s">
        <v>25</v>
      </c>
      <c r="N287" s="14">
        <v>0.19484607062063539</v>
      </c>
      <c r="O287" s="11">
        <v>45557</v>
      </c>
      <c r="P28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88" spans="1:16" x14ac:dyDescent="0.3">
      <c r="A288" t="s">
        <v>535</v>
      </c>
      <c r="B288" t="s">
        <v>31</v>
      </c>
      <c r="C288" s="11">
        <v>45519</v>
      </c>
      <c r="D288" t="s">
        <v>16</v>
      </c>
      <c r="E288" t="s">
        <v>17</v>
      </c>
      <c r="F288">
        <v>1164</v>
      </c>
      <c r="G288">
        <v>616</v>
      </c>
      <c r="H288">
        <v>324</v>
      </c>
      <c r="I288">
        <v>6984</v>
      </c>
      <c r="J288">
        <v>6636</v>
      </c>
      <c r="K288">
        <v>82</v>
      </c>
      <c r="L288" t="s">
        <v>285</v>
      </c>
      <c r="M288" t="s">
        <v>38</v>
      </c>
      <c r="N288" s="14">
        <v>0.30126002290950743</v>
      </c>
      <c r="O288" s="11">
        <v>45515</v>
      </c>
      <c r="P28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89" spans="1:16" x14ac:dyDescent="0.3">
      <c r="A289" t="s">
        <v>536</v>
      </c>
      <c r="B289" t="s">
        <v>576</v>
      </c>
      <c r="C289" s="11">
        <v>45764</v>
      </c>
      <c r="D289" t="s">
        <v>42</v>
      </c>
      <c r="E289" t="s">
        <v>43</v>
      </c>
      <c r="F289">
        <v>4780</v>
      </c>
      <c r="G289">
        <v>691</v>
      </c>
      <c r="H289">
        <v>380</v>
      </c>
      <c r="I289">
        <v>86040</v>
      </c>
      <c r="J289">
        <v>85743</v>
      </c>
      <c r="K289">
        <v>262</v>
      </c>
      <c r="L289" t="s">
        <v>71</v>
      </c>
      <c r="M289" t="s">
        <v>38</v>
      </c>
      <c r="N289" s="14">
        <v>6.800325430032543E-2</v>
      </c>
      <c r="O289" s="11">
        <v>45760</v>
      </c>
      <c r="P28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90" spans="1:16" x14ac:dyDescent="0.3">
      <c r="A290" t="s">
        <v>538</v>
      </c>
      <c r="B290" t="s">
        <v>40</v>
      </c>
      <c r="C290" s="11">
        <v>45624</v>
      </c>
      <c r="D290" t="s">
        <v>42</v>
      </c>
      <c r="E290" t="s">
        <v>43</v>
      </c>
      <c r="F290">
        <v>2751</v>
      </c>
      <c r="G290">
        <v>33</v>
      </c>
      <c r="H290">
        <v>430</v>
      </c>
      <c r="I290">
        <v>44016</v>
      </c>
      <c r="J290">
        <v>43415</v>
      </c>
      <c r="K290">
        <v>129</v>
      </c>
      <c r="L290" t="s">
        <v>214</v>
      </c>
      <c r="M290" t="s">
        <v>25</v>
      </c>
      <c r="N290" s="14">
        <v>7.3018902217375503E-2</v>
      </c>
      <c r="O290" s="11">
        <v>45620</v>
      </c>
      <c r="P29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91" spans="1:16" x14ac:dyDescent="0.3">
      <c r="A291" t="s">
        <v>539</v>
      </c>
      <c r="B291" t="s">
        <v>31</v>
      </c>
      <c r="C291" s="11">
        <v>45646</v>
      </c>
      <c r="D291" t="s">
        <v>42</v>
      </c>
      <c r="E291" t="s">
        <v>43</v>
      </c>
      <c r="F291">
        <v>2107</v>
      </c>
      <c r="G291">
        <v>550</v>
      </c>
      <c r="H291">
        <v>349</v>
      </c>
      <c r="I291">
        <v>35819</v>
      </c>
      <c r="J291">
        <v>35340</v>
      </c>
      <c r="K291">
        <v>191</v>
      </c>
      <c r="L291" t="s">
        <v>44</v>
      </c>
      <c r="M291" t="s">
        <v>38</v>
      </c>
      <c r="N291" s="14">
        <v>8.3921940869371006E-2</v>
      </c>
      <c r="O291" s="11">
        <v>45641</v>
      </c>
      <c r="P29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92" spans="1:16" x14ac:dyDescent="0.3">
      <c r="A292" t="s">
        <v>541</v>
      </c>
      <c r="B292" t="s">
        <v>40</v>
      </c>
      <c r="C292" s="11">
        <v>45602</v>
      </c>
      <c r="D292" t="s">
        <v>69</v>
      </c>
      <c r="E292" t="s">
        <v>70</v>
      </c>
      <c r="F292">
        <v>4663</v>
      </c>
      <c r="G292">
        <v>145</v>
      </c>
      <c r="H292">
        <v>225</v>
      </c>
      <c r="I292">
        <v>69945</v>
      </c>
      <c r="J292">
        <v>69596</v>
      </c>
      <c r="K292">
        <v>35</v>
      </c>
      <c r="L292" t="s">
        <v>24</v>
      </c>
      <c r="M292" t="s">
        <v>25</v>
      </c>
      <c r="N292" s="14">
        <v>7.1956537279290869E-2</v>
      </c>
      <c r="O292" s="11">
        <v>45599</v>
      </c>
      <c r="P292"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93" spans="1:16" x14ac:dyDescent="0.3">
      <c r="A293" t="s">
        <v>542</v>
      </c>
      <c r="B293" t="s">
        <v>40</v>
      </c>
      <c r="C293" s="11">
        <v>45613</v>
      </c>
      <c r="D293" t="s">
        <v>22</v>
      </c>
      <c r="E293" t="s">
        <v>23</v>
      </c>
      <c r="F293">
        <v>880</v>
      </c>
      <c r="G293">
        <v>297</v>
      </c>
      <c r="H293">
        <v>345</v>
      </c>
      <c r="I293">
        <v>12320</v>
      </c>
      <c r="J293">
        <v>11978</v>
      </c>
      <c r="K293">
        <v>238</v>
      </c>
      <c r="L293" t="s">
        <v>18</v>
      </c>
      <c r="M293" t="s">
        <v>25</v>
      </c>
      <c r="N293" s="14">
        <v>0.12353896103896105</v>
      </c>
      <c r="O293" s="11">
        <v>45613</v>
      </c>
      <c r="P293"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94" spans="1:16" x14ac:dyDescent="0.3">
      <c r="A294" t="s">
        <v>544</v>
      </c>
      <c r="B294" t="s">
        <v>40</v>
      </c>
      <c r="C294" s="11">
        <v>45791</v>
      </c>
      <c r="D294" t="s">
        <v>22</v>
      </c>
      <c r="E294" t="s">
        <v>23</v>
      </c>
      <c r="F294">
        <v>2634</v>
      </c>
      <c r="G294">
        <v>726</v>
      </c>
      <c r="H294">
        <v>241</v>
      </c>
      <c r="I294">
        <v>28974</v>
      </c>
      <c r="J294">
        <v>28102</v>
      </c>
      <c r="K294">
        <v>277</v>
      </c>
      <c r="L294" t="s">
        <v>58</v>
      </c>
      <c r="M294" t="s">
        <v>38</v>
      </c>
      <c r="N294" s="14">
        <v>0.12428384068475185</v>
      </c>
      <c r="O294" s="11">
        <v>45788</v>
      </c>
      <c r="P294"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95" spans="1:16" x14ac:dyDescent="0.3">
      <c r="A295" t="s">
        <v>546</v>
      </c>
      <c r="B295" t="s">
        <v>40</v>
      </c>
      <c r="C295" s="11">
        <v>45462</v>
      </c>
      <c r="D295" t="s">
        <v>42</v>
      </c>
      <c r="E295" t="s">
        <v>43</v>
      </c>
      <c r="F295">
        <v>4731</v>
      </c>
      <c r="G295">
        <v>173</v>
      </c>
      <c r="H295">
        <v>276</v>
      </c>
      <c r="I295">
        <v>28386</v>
      </c>
      <c r="J295">
        <v>28185</v>
      </c>
      <c r="K295">
        <v>89</v>
      </c>
      <c r="L295" t="s">
        <v>105</v>
      </c>
      <c r="M295" t="s">
        <v>55</v>
      </c>
      <c r="N295" s="14">
        <v>0.18248432325794406</v>
      </c>
      <c r="O295" s="11">
        <v>45459</v>
      </c>
      <c r="P295"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296" spans="1:16" x14ac:dyDescent="0.3">
      <c r="A296" t="s">
        <v>548</v>
      </c>
      <c r="B296" t="s">
        <v>14</v>
      </c>
      <c r="C296" s="11">
        <v>45783</v>
      </c>
      <c r="D296" t="s">
        <v>49</v>
      </c>
      <c r="E296" t="s">
        <v>50</v>
      </c>
      <c r="F296">
        <v>1952</v>
      </c>
      <c r="G296">
        <v>344</v>
      </c>
      <c r="H296">
        <v>287</v>
      </c>
      <c r="I296">
        <v>15616</v>
      </c>
      <c r="J296">
        <v>15403</v>
      </c>
      <c r="K296">
        <v>235</v>
      </c>
      <c r="L296" t="s">
        <v>66</v>
      </c>
      <c r="M296" t="s">
        <v>38</v>
      </c>
      <c r="N296" s="14">
        <v>0.16540727459016394</v>
      </c>
      <c r="O296" s="11">
        <v>45781</v>
      </c>
      <c r="P296"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97" spans="1:16" x14ac:dyDescent="0.3">
      <c r="A297" t="s">
        <v>549</v>
      </c>
      <c r="B297" t="s">
        <v>14</v>
      </c>
      <c r="C297" s="11">
        <v>45699</v>
      </c>
      <c r="D297" t="s">
        <v>69</v>
      </c>
      <c r="E297" t="s">
        <v>70</v>
      </c>
      <c r="F297">
        <v>3440</v>
      </c>
      <c r="G297">
        <v>13</v>
      </c>
      <c r="H297">
        <v>20</v>
      </c>
      <c r="I297">
        <v>58480</v>
      </c>
      <c r="J297">
        <v>58146</v>
      </c>
      <c r="K297">
        <v>210</v>
      </c>
      <c r="L297" t="s">
        <v>71</v>
      </c>
      <c r="M297" t="s">
        <v>19</v>
      </c>
      <c r="N297" s="14">
        <v>5.9387824897400819E-2</v>
      </c>
      <c r="O297" s="11">
        <v>45697</v>
      </c>
      <c r="P297"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Outside Campaign</v>
      </c>
    </row>
    <row r="298" spans="1:16" x14ac:dyDescent="0.3">
      <c r="A298" t="s">
        <v>551</v>
      </c>
      <c r="B298" t="s">
        <v>14</v>
      </c>
      <c r="C298" s="11">
        <v>45650</v>
      </c>
      <c r="D298" t="s">
        <v>22</v>
      </c>
      <c r="E298" t="s">
        <v>23</v>
      </c>
      <c r="F298">
        <v>2166</v>
      </c>
      <c r="G298">
        <v>354</v>
      </c>
      <c r="H298">
        <v>117</v>
      </c>
      <c r="I298">
        <v>10830</v>
      </c>
      <c r="J298">
        <v>10245</v>
      </c>
      <c r="K298">
        <v>24</v>
      </c>
      <c r="L298" t="s">
        <v>87</v>
      </c>
      <c r="M298" t="s">
        <v>19</v>
      </c>
      <c r="N298" s="14">
        <v>0.24349030470914126</v>
      </c>
      <c r="O298" s="11">
        <v>45648</v>
      </c>
      <c r="P298"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Before Campaign</v>
      </c>
    </row>
    <row r="299" spans="1:16" x14ac:dyDescent="0.3">
      <c r="A299" t="s">
        <v>553</v>
      </c>
      <c r="B299" t="s">
        <v>40</v>
      </c>
      <c r="C299" s="11">
        <v>45589</v>
      </c>
      <c r="D299" t="s">
        <v>49</v>
      </c>
      <c r="E299" t="s">
        <v>50</v>
      </c>
      <c r="F299">
        <v>4303</v>
      </c>
      <c r="G299">
        <v>451</v>
      </c>
      <c r="H299">
        <v>286</v>
      </c>
      <c r="I299">
        <v>86060</v>
      </c>
      <c r="J299">
        <v>85823</v>
      </c>
      <c r="K299">
        <v>14</v>
      </c>
      <c r="L299" t="s">
        <v>18</v>
      </c>
      <c r="M299" t="s">
        <v>25</v>
      </c>
      <c r="N299" s="14">
        <v>5.8563792702765516E-2</v>
      </c>
      <c r="O299" s="11">
        <v>45585</v>
      </c>
      <c r="P299"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300" spans="1:16" x14ac:dyDescent="0.3">
      <c r="A300" t="s">
        <v>554</v>
      </c>
      <c r="B300" t="s">
        <v>40</v>
      </c>
      <c r="C300" s="11">
        <v>45530</v>
      </c>
      <c r="D300" t="s">
        <v>49</v>
      </c>
      <c r="E300" t="s">
        <v>50</v>
      </c>
      <c r="F300">
        <v>2581</v>
      </c>
      <c r="G300">
        <v>517</v>
      </c>
      <c r="H300">
        <v>117</v>
      </c>
      <c r="I300">
        <v>23229</v>
      </c>
      <c r="J300">
        <v>22331</v>
      </c>
      <c r="K300">
        <v>70</v>
      </c>
      <c r="L300" t="s">
        <v>82</v>
      </c>
      <c r="M300" t="s">
        <v>25</v>
      </c>
      <c r="N300" s="14">
        <v>0.13840458048129492</v>
      </c>
      <c r="O300" s="11">
        <v>45529</v>
      </c>
      <c r="P300"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row r="301" spans="1:16" x14ac:dyDescent="0.3">
      <c r="A301" t="s">
        <v>555</v>
      </c>
      <c r="B301" t="s">
        <v>14</v>
      </c>
      <c r="C301" s="11">
        <v>45535</v>
      </c>
      <c r="D301" t="s">
        <v>42</v>
      </c>
      <c r="E301" t="s">
        <v>43</v>
      </c>
      <c r="F301">
        <v>4494</v>
      </c>
      <c r="G301">
        <v>717</v>
      </c>
      <c r="H301">
        <v>45</v>
      </c>
      <c r="I301">
        <v>62916</v>
      </c>
      <c r="J301">
        <v>62688</v>
      </c>
      <c r="K301">
        <v>191</v>
      </c>
      <c r="L301" t="s">
        <v>24</v>
      </c>
      <c r="M301" t="s">
        <v>19</v>
      </c>
      <c r="N301" s="14">
        <v>8.3539958039290485E-2</v>
      </c>
      <c r="O301" s="11">
        <v>45529</v>
      </c>
      <c r="P301" t="str">
        <f>IF(
   COUNTIFS(
      Campaign_Data_Clean[Start_Date],"&lt;="&amp;Post_Clean[[#This Row],[Date]],
      Campaign_Data_Clean[End_Date],"&gt;="&amp;Post_Clean[[#This Row],[Date]]
   )&gt;0,
   "During Campaign",
   IF(
      COUNTIFS(
         Campaign_Data_Clean[Start_Date],"&gt;"&amp;Post_Clean[[#This Row],[Date]],
         Campaign_Data_Clean[Start_Date],"&lt;="&amp;Post_Clean[[#This Row],[Date]]+30
      )&gt;0,
      "Before Campaign",
      "Outside Campaign"
   )
)</f>
        <v>During Campaign</v>
      </c>
    </row>
  </sheetData>
  <phoneticPr fontId="6"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18567-D103-4213-AC11-45A3C5D272E5}">
  <dimension ref="A1:L201"/>
  <sheetViews>
    <sheetView topLeftCell="D1" workbookViewId="0">
      <selection activeCell="S7" sqref="S7"/>
    </sheetView>
  </sheetViews>
  <sheetFormatPr defaultRowHeight="14.4" x14ac:dyDescent="0.3"/>
  <cols>
    <col min="1" max="1" width="18" bestFit="1" customWidth="1"/>
    <col min="2" max="2" width="10.5546875" bestFit="1" customWidth="1"/>
    <col min="3" max="3" width="16" bestFit="1" customWidth="1"/>
    <col min="4" max="4" width="11.6640625" bestFit="1" customWidth="1"/>
    <col min="5" max="5" width="16.44140625" bestFit="1" customWidth="1"/>
    <col min="6" max="6" width="18.6640625" bestFit="1" customWidth="1"/>
    <col min="7" max="7" width="17.6640625" bestFit="1" customWidth="1"/>
    <col min="8" max="8" width="11.88671875" bestFit="1" customWidth="1"/>
    <col min="9" max="9" width="21.44140625" bestFit="1" customWidth="1"/>
    <col min="10" max="11" width="17.77734375" bestFit="1" customWidth="1"/>
    <col min="12" max="12" width="12" bestFit="1" customWidth="1"/>
  </cols>
  <sheetData>
    <row r="1" spans="1:12" x14ac:dyDescent="0.3">
      <c r="A1" t="s">
        <v>556</v>
      </c>
      <c r="B1" t="s">
        <v>1</v>
      </c>
      <c r="C1" t="s">
        <v>557</v>
      </c>
      <c r="D1" t="s">
        <v>558</v>
      </c>
      <c r="E1" t="s">
        <v>559</v>
      </c>
      <c r="F1" t="s">
        <v>560</v>
      </c>
      <c r="G1" t="s">
        <v>592</v>
      </c>
      <c r="H1" t="s">
        <v>561</v>
      </c>
      <c r="I1" t="s">
        <v>581</v>
      </c>
      <c r="J1" t="s">
        <v>584</v>
      </c>
      <c r="K1" t="s">
        <v>12</v>
      </c>
      <c r="L1" t="s">
        <v>589</v>
      </c>
    </row>
    <row r="2" spans="1:12" x14ac:dyDescent="0.3">
      <c r="A2" s="11">
        <v>45446</v>
      </c>
      <c r="B2" t="s">
        <v>31</v>
      </c>
      <c r="C2">
        <v>1135</v>
      </c>
      <c r="D2">
        <v>88</v>
      </c>
      <c r="E2">
        <v>344084</v>
      </c>
      <c r="F2">
        <v>8.06</v>
      </c>
      <c r="G2">
        <f>C2-Engagment_Summary_Clean[[#This Row],[Unfollows]]</f>
        <v>1047</v>
      </c>
      <c r="H2">
        <v>5904</v>
      </c>
      <c r="I2" s="21">
        <v>3.0428616268120576E-3</v>
      </c>
      <c r="J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 t="str" cm="1">
        <f t="array" ref="K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2">
        <f>Engagment_Summary_Clean[[#This Row],[Engagement_Rate]]/Engagment_Summary_Clean[[#This Row],[Ad_Spend]]*100</f>
        <v>0.13651761517615177</v>
      </c>
    </row>
    <row r="3" spans="1:12" x14ac:dyDescent="0.3">
      <c r="A3" s="11">
        <v>45446</v>
      </c>
      <c r="B3" t="s">
        <v>40</v>
      </c>
      <c r="C3">
        <v>1312</v>
      </c>
      <c r="D3">
        <v>310</v>
      </c>
      <c r="E3">
        <v>42654</v>
      </c>
      <c r="F3">
        <v>4.9800000000000004</v>
      </c>
      <c r="G3">
        <f>C3-Engagment_Summary_Clean[[#This Row],[Unfollows]]</f>
        <v>1002</v>
      </c>
      <c r="H3">
        <v>9566</v>
      </c>
      <c r="I3" s="21">
        <v>2.3491348994232664E-2</v>
      </c>
      <c r="J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 t="str" cm="1">
        <f t="array" ref="K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3">
        <f>Engagment_Summary_Clean[[#This Row],[Engagement_Rate]]/Engagment_Summary_Clean[[#This Row],[Ad_Spend]]*100</f>
        <v>5.2059376960066905E-2</v>
      </c>
    </row>
    <row r="4" spans="1:12" x14ac:dyDescent="0.3">
      <c r="A4" s="11">
        <v>45446</v>
      </c>
      <c r="B4" t="s">
        <v>14</v>
      </c>
      <c r="C4">
        <v>584</v>
      </c>
      <c r="D4">
        <v>169</v>
      </c>
      <c r="E4">
        <v>146834</v>
      </c>
      <c r="F4">
        <v>8.31</v>
      </c>
      <c r="G4">
        <f>C4-Engagment_Summary_Clean[[#This Row],[Unfollows]]</f>
        <v>415</v>
      </c>
      <c r="H4">
        <v>26752</v>
      </c>
      <c r="I4" s="21">
        <v>2.826320879360366E-3</v>
      </c>
      <c r="J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4" t="str" cm="1">
        <f t="array" ref="K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4">
        <f>Engagment_Summary_Clean[[#This Row],[Engagement_Rate]]/Engagment_Summary_Clean[[#This Row],[Ad_Spend]]*100</f>
        <v>3.1063098086124407E-2</v>
      </c>
    </row>
    <row r="5" spans="1:12" x14ac:dyDescent="0.3">
      <c r="A5" s="11">
        <v>45446</v>
      </c>
      <c r="B5" t="s">
        <v>576</v>
      </c>
      <c r="C5">
        <v>1535</v>
      </c>
      <c r="D5">
        <v>445</v>
      </c>
      <c r="E5">
        <v>395536</v>
      </c>
      <c r="F5">
        <v>4.1100000000000003</v>
      </c>
      <c r="G5">
        <f>C5-Engagment_Summary_Clean[[#This Row],[Unfollows]]</f>
        <v>1090</v>
      </c>
      <c r="H5">
        <v>30671</v>
      </c>
      <c r="I5" s="21">
        <v>2.7557542170624167E-3</v>
      </c>
      <c r="J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5" t="str" cm="1">
        <f t="array" ref="K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5">
        <f>Engagment_Summary_Clean[[#This Row],[Engagement_Rate]]/Engagment_Summary_Clean[[#This Row],[Ad_Spend]]*100</f>
        <v>1.3400280395161555E-2</v>
      </c>
    </row>
    <row r="6" spans="1:12" x14ac:dyDescent="0.3">
      <c r="A6" s="11">
        <v>45453</v>
      </c>
      <c r="B6" t="s">
        <v>31</v>
      </c>
      <c r="C6">
        <v>656</v>
      </c>
      <c r="D6">
        <v>139</v>
      </c>
      <c r="E6">
        <v>49157</v>
      </c>
      <c r="F6">
        <v>9.0500000000000007</v>
      </c>
      <c r="G6">
        <f>C6-Engagment_Summary_Clean[[#This Row],[Unfollows]]</f>
        <v>517</v>
      </c>
      <c r="H6">
        <v>9920</v>
      </c>
      <c r="I6" s="21">
        <v>1.0517322049758936E-2</v>
      </c>
      <c r="J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6" t="str" cm="1">
        <f t="array" ref="K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6">
        <f>Engagment_Summary_Clean[[#This Row],[Engagement_Rate]]/Engagment_Summary_Clean[[#This Row],[Ad_Spend]]*100</f>
        <v>9.1229838709677435E-2</v>
      </c>
    </row>
    <row r="7" spans="1:12" x14ac:dyDescent="0.3">
      <c r="A7" s="11">
        <v>45453</v>
      </c>
      <c r="B7" t="s">
        <v>40</v>
      </c>
      <c r="C7">
        <v>1697</v>
      </c>
      <c r="D7">
        <v>414</v>
      </c>
      <c r="E7">
        <v>316555</v>
      </c>
      <c r="F7">
        <v>2.37</v>
      </c>
      <c r="G7">
        <f>C7-Engagment_Summary_Clean[[#This Row],[Unfollows]]</f>
        <v>1283</v>
      </c>
      <c r="H7">
        <v>7924</v>
      </c>
      <c r="I7" s="21">
        <v>4.0530081660374974E-3</v>
      </c>
      <c r="J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7" t="str" cm="1">
        <f t="array" ref="K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7">
        <f>Engagment_Summary_Clean[[#This Row],[Engagement_Rate]]/Engagment_Summary_Clean[[#This Row],[Ad_Spend]]*100</f>
        <v>2.9909136799596163E-2</v>
      </c>
    </row>
    <row r="8" spans="1:12" x14ac:dyDescent="0.3">
      <c r="A8" s="11">
        <v>45453</v>
      </c>
      <c r="B8" t="s">
        <v>14</v>
      </c>
      <c r="C8">
        <v>436</v>
      </c>
      <c r="D8">
        <v>250</v>
      </c>
      <c r="E8">
        <v>254347</v>
      </c>
      <c r="F8">
        <v>4.01</v>
      </c>
      <c r="G8">
        <f>C8-Engagment_Summary_Clean[[#This Row],[Unfollows]]</f>
        <v>186</v>
      </c>
      <c r="H8">
        <v>8912</v>
      </c>
      <c r="I8" s="21">
        <v>7.3128442639386348E-4</v>
      </c>
      <c r="J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 t="str" cm="1">
        <f t="array" ref="K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8">
        <f>Engagment_Summary_Clean[[#This Row],[Engagement_Rate]]/Engagment_Summary_Clean[[#This Row],[Ad_Spend]]*100</f>
        <v>4.4995511669658886E-2</v>
      </c>
    </row>
    <row r="9" spans="1:12" x14ac:dyDescent="0.3">
      <c r="A9" s="11">
        <v>45453</v>
      </c>
      <c r="B9" t="s">
        <v>576</v>
      </c>
      <c r="C9">
        <v>1197</v>
      </c>
      <c r="D9">
        <v>203</v>
      </c>
      <c r="E9">
        <v>413878</v>
      </c>
      <c r="F9">
        <v>3.16</v>
      </c>
      <c r="G9">
        <f>C9-Engagment_Summary_Clean[[#This Row],[Unfollows]]</f>
        <v>994</v>
      </c>
      <c r="H9">
        <v>21205</v>
      </c>
      <c r="I9" s="21">
        <v>2.4016739232334168E-3</v>
      </c>
      <c r="J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9" t="str" cm="1">
        <f t="array" ref="K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9">
        <f>Engagment_Summary_Clean[[#This Row],[Engagement_Rate]]/Engagment_Summary_Clean[[#This Row],[Ad_Spend]]*100</f>
        <v>1.4902145720348974E-2</v>
      </c>
    </row>
    <row r="10" spans="1:12" x14ac:dyDescent="0.3">
      <c r="A10" s="11">
        <v>45460</v>
      </c>
      <c r="B10" t="s">
        <v>31</v>
      </c>
      <c r="C10">
        <v>1048</v>
      </c>
      <c r="D10">
        <v>155</v>
      </c>
      <c r="E10">
        <v>456946</v>
      </c>
      <c r="F10">
        <v>2.46</v>
      </c>
      <c r="G10">
        <f>C10-Engagment_Summary_Clean[[#This Row],[Unfollows]]</f>
        <v>893</v>
      </c>
      <c r="H10">
        <v>11329</v>
      </c>
      <c r="I10" s="21">
        <v>1.9542790614208243E-3</v>
      </c>
      <c r="J1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0" t="str" cm="1">
        <f t="array" ref="K1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0">
        <f>Engagment_Summary_Clean[[#This Row],[Engagement_Rate]]/Engagment_Summary_Clean[[#This Row],[Ad_Spend]]*100</f>
        <v>2.1714184835378233E-2</v>
      </c>
    </row>
    <row r="11" spans="1:12" x14ac:dyDescent="0.3">
      <c r="A11" s="11">
        <v>45460</v>
      </c>
      <c r="B11" t="s">
        <v>40</v>
      </c>
      <c r="C11">
        <v>1753</v>
      </c>
      <c r="D11">
        <v>371</v>
      </c>
      <c r="E11">
        <v>169496</v>
      </c>
      <c r="F11">
        <v>8.11</v>
      </c>
      <c r="G11">
        <f>C11-Engagment_Summary_Clean[[#This Row],[Unfollows]]</f>
        <v>1382</v>
      </c>
      <c r="H11">
        <v>46670</v>
      </c>
      <c r="I11" s="21">
        <v>8.1535847453627231E-3</v>
      </c>
      <c r="J1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1" t="str" cm="1">
        <f t="array" ref="K1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1">
        <f>Engagment_Summary_Clean[[#This Row],[Engagement_Rate]]/Engagment_Summary_Clean[[#This Row],[Ad_Spend]]*100</f>
        <v>1.7377330190700663E-2</v>
      </c>
    </row>
    <row r="12" spans="1:12" x14ac:dyDescent="0.3">
      <c r="A12" s="11">
        <v>45460</v>
      </c>
      <c r="B12" t="s">
        <v>14</v>
      </c>
      <c r="C12">
        <v>1335</v>
      </c>
      <c r="D12">
        <v>40</v>
      </c>
      <c r="E12">
        <v>122732</v>
      </c>
      <c r="F12">
        <v>8.19</v>
      </c>
      <c r="G12">
        <f>C12-Engagment_Summary_Clean[[#This Row],[Unfollows]]</f>
        <v>1295</v>
      </c>
      <c r="H12">
        <v>22482</v>
      </c>
      <c r="I12" s="21">
        <v>1.0551445425805821E-2</v>
      </c>
      <c r="J1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2" t="str" cm="1">
        <f t="array" ref="K1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2">
        <f>Engagment_Summary_Clean[[#This Row],[Engagement_Rate]]/Engagment_Summary_Clean[[#This Row],[Ad_Spend]]*100</f>
        <v>3.6429143314651719E-2</v>
      </c>
    </row>
    <row r="13" spans="1:12" x14ac:dyDescent="0.3">
      <c r="A13" s="11">
        <v>45460</v>
      </c>
      <c r="B13" t="s">
        <v>576</v>
      </c>
      <c r="C13">
        <v>403</v>
      </c>
      <c r="D13">
        <v>66</v>
      </c>
      <c r="E13">
        <v>382851</v>
      </c>
      <c r="F13">
        <v>3.49</v>
      </c>
      <c r="G13">
        <f>C13-Engagment_Summary_Clean[[#This Row],[Unfollows]]</f>
        <v>337</v>
      </c>
      <c r="H13">
        <v>24313</v>
      </c>
      <c r="I13" s="21">
        <v>8.80238003818718E-4</v>
      </c>
      <c r="J1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 t="str" cm="1">
        <f t="array" ref="K1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3">
        <f>Engagment_Summary_Clean[[#This Row],[Engagement_Rate]]/Engagment_Summary_Clean[[#This Row],[Ad_Spend]]*100</f>
        <v>1.4354460576646239E-2</v>
      </c>
    </row>
    <row r="14" spans="1:12" x14ac:dyDescent="0.3">
      <c r="A14" s="11">
        <v>45467</v>
      </c>
      <c r="B14" t="s">
        <v>31</v>
      </c>
      <c r="C14">
        <v>911</v>
      </c>
      <c r="D14">
        <v>282</v>
      </c>
      <c r="E14">
        <v>35664</v>
      </c>
      <c r="F14">
        <v>6.92</v>
      </c>
      <c r="G14">
        <f>C14-Engagment_Summary_Clean[[#This Row],[Unfollows]]</f>
        <v>629</v>
      </c>
      <c r="H14">
        <v>18050</v>
      </c>
      <c r="I14" s="21">
        <v>1.7636832660385824E-2</v>
      </c>
      <c r="J1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 t="str" cm="1">
        <f t="array" ref="K1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4">
        <f>Engagment_Summary_Clean[[#This Row],[Engagement_Rate]]/Engagment_Summary_Clean[[#This Row],[Ad_Spend]]*100</f>
        <v>3.8337950138504155E-2</v>
      </c>
    </row>
    <row r="15" spans="1:12" x14ac:dyDescent="0.3">
      <c r="A15" s="11">
        <v>45467</v>
      </c>
      <c r="B15" t="s">
        <v>40</v>
      </c>
      <c r="C15">
        <v>1779</v>
      </c>
      <c r="D15">
        <v>109</v>
      </c>
      <c r="E15">
        <v>26295</v>
      </c>
      <c r="F15">
        <v>9.1199999999999992</v>
      </c>
      <c r="G15">
        <f>C15-Engagment_Summary_Clean[[#This Row],[Unfollows]]</f>
        <v>1670</v>
      </c>
      <c r="H15">
        <v>30635</v>
      </c>
      <c r="I15" s="21">
        <v>6.3510173036698994E-2</v>
      </c>
      <c r="J1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5" t="str" cm="1">
        <f t="array" ref="K1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5">
        <f>Engagment_Summary_Clean[[#This Row],[Engagement_Rate]]/Engagment_Summary_Clean[[#This Row],[Ad_Spend]]*100</f>
        <v>2.9769871062510198E-2</v>
      </c>
    </row>
    <row r="16" spans="1:12" x14ac:dyDescent="0.3">
      <c r="A16" s="11">
        <v>45467</v>
      </c>
      <c r="B16" t="s">
        <v>14</v>
      </c>
      <c r="C16">
        <v>1238</v>
      </c>
      <c r="D16">
        <v>403</v>
      </c>
      <c r="E16">
        <v>298421</v>
      </c>
      <c r="F16">
        <v>3.5</v>
      </c>
      <c r="G16">
        <f>C16-Engagment_Summary_Clean[[#This Row],[Unfollows]]</f>
        <v>835</v>
      </c>
      <c r="H16">
        <v>31280</v>
      </c>
      <c r="I16" s="21">
        <v>2.798060458211721E-3</v>
      </c>
      <c r="J1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6" t="str" cm="1">
        <f t="array" ref="K1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6">
        <f>Engagment_Summary_Clean[[#This Row],[Engagement_Rate]]/Engagment_Summary_Clean[[#This Row],[Ad_Spend]]*100</f>
        <v>1.118925831202046E-2</v>
      </c>
    </row>
    <row r="17" spans="1:12" x14ac:dyDescent="0.3">
      <c r="A17" s="11">
        <v>45467</v>
      </c>
      <c r="B17" t="s">
        <v>576</v>
      </c>
      <c r="C17">
        <v>308</v>
      </c>
      <c r="D17">
        <v>431</v>
      </c>
      <c r="E17">
        <v>426184</v>
      </c>
      <c r="F17">
        <v>2.62</v>
      </c>
      <c r="G17">
        <f>C17-Engagment_Summary_Clean[[#This Row],[Unfollows]]</f>
        <v>-123</v>
      </c>
      <c r="H17">
        <v>1783</v>
      </c>
      <c r="I17" s="21">
        <v>-2.8860773750305035E-4</v>
      </c>
      <c r="J1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7" t="str" cm="1">
        <f t="array" ref="K1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7">
        <f>Engagment_Summary_Clean[[#This Row],[Engagement_Rate]]/Engagment_Summary_Clean[[#This Row],[Ad_Spend]]*100</f>
        <v>0.14694335389792487</v>
      </c>
    </row>
    <row r="18" spans="1:12" x14ac:dyDescent="0.3">
      <c r="A18" s="11">
        <v>45474</v>
      </c>
      <c r="B18" t="s">
        <v>31</v>
      </c>
      <c r="C18">
        <v>226</v>
      </c>
      <c r="D18">
        <v>445</v>
      </c>
      <c r="E18">
        <v>419447</v>
      </c>
      <c r="F18">
        <v>9.36</v>
      </c>
      <c r="G18">
        <f>C18-Engagment_Summary_Clean[[#This Row],[Unfollows]]</f>
        <v>-219</v>
      </c>
      <c r="H18">
        <v>9566</v>
      </c>
      <c r="I18" s="21">
        <v>-5.2211602419375983E-4</v>
      </c>
      <c r="J1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8" t="str" cm="1">
        <f t="array" ref="K1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8">
        <f>Engagment_Summary_Clean[[#This Row],[Engagement_Rate]]/Engagment_Summary_Clean[[#This Row],[Ad_Spend]]*100</f>
        <v>9.7846539828559481E-2</v>
      </c>
    </row>
    <row r="19" spans="1:12" x14ac:dyDescent="0.3">
      <c r="A19" s="11">
        <v>45474</v>
      </c>
      <c r="B19" t="s">
        <v>40</v>
      </c>
      <c r="C19">
        <v>505</v>
      </c>
      <c r="D19">
        <v>441</v>
      </c>
      <c r="E19">
        <v>220020</v>
      </c>
      <c r="F19">
        <v>4.4800000000000004</v>
      </c>
      <c r="G19">
        <f>C19-Engagment_Summary_Clean[[#This Row],[Unfollows]]</f>
        <v>64</v>
      </c>
      <c r="H19">
        <v>42307</v>
      </c>
      <c r="I19" s="21">
        <v>2.9088264703208797E-4</v>
      </c>
      <c r="J1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9" t="str" cm="1">
        <f t="array" ref="K1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19">
        <f>Engagment_Summary_Clean[[#This Row],[Engagement_Rate]]/Engagment_Summary_Clean[[#This Row],[Ad_Spend]]*100</f>
        <v>1.0589264187959441E-2</v>
      </c>
    </row>
    <row r="20" spans="1:12" x14ac:dyDescent="0.3">
      <c r="A20" s="11">
        <v>45474</v>
      </c>
      <c r="B20" t="s">
        <v>14</v>
      </c>
      <c r="C20">
        <v>1420</v>
      </c>
      <c r="D20">
        <v>63</v>
      </c>
      <c r="E20">
        <v>315305</v>
      </c>
      <c r="F20">
        <v>6.19</v>
      </c>
      <c r="G20">
        <f>C20-Engagment_Summary_Clean[[#This Row],[Unfollows]]</f>
        <v>1357</v>
      </c>
      <c r="H20">
        <v>5914</v>
      </c>
      <c r="I20" s="21">
        <v>4.3037693661692649E-3</v>
      </c>
      <c r="J2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20" t="str" cm="1">
        <f t="array" ref="K2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20">
        <f>Engagment_Summary_Clean[[#This Row],[Engagement_Rate]]/Engagment_Summary_Clean[[#This Row],[Ad_Spend]]*100</f>
        <v>0.1046668921203923</v>
      </c>
    </row>
    <row r="21" spans="1:12" x14ac:dyDescent="0.3">
      <c r="A21" s="11">
        <v>45474</v>
      </c>
      <c r="B21" t="s">
        <v>576</v>
      </c>
      <c r="C21">
        <v>144</v>
      </c>
      <c r="D21">
        <v>53</v>
      </c>
      <c r="E21">
        <v>113678</v>
      </c>
      <c r="F21">
        <v>8.7200000000000006</v>
      </c>
      <c r="G21">
        <f>C21-Engagment_Summary_Clean[[#This Row],[Unfollows]]</f>
        <v>91</v>
      </c>
      <c r="H21">
        <v>30060</v>
      </c>
      <c r="I21" s="21">
        <v>8.0050669434719116E-4</v>
      </c>
      <c r="J2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21" t="str" cm="1">
        <f t="array" ref="K2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EndOfSeasonSale</v>
      </c>
      <c r="L21">
        <f>Engagment_Summary_Clean[[#This Row],[Engagement_Rate]]/Engagment_Summary_Clean[[#This Row],[Ad_Spend]]*100</f>
        <v>2.9008649367930805E-2</v>
      </c>
    </row>
    <row r="22" spans="1:12" x14ac:dyDescent="0.3">
      <c r="A22" s="11">
        <v>45481</v>
      </c>
      <c r="B22" t="s">
        <v>31</v>
      </c>
      <c r="C22">
        <v>1757</v>
      </c>
      <c r="D22">
        <v>85</v>
      </c>
      <c r="E22">
        <v>58223</v>
      </c>
      <c r="F22">
        <v>8.74</v>
      </c>
      <c r="G22">
        <f>C22-Engagment_Summary_Clean[[#This Row],[Unfollows]]</f>
        <v>1672</v>
      </c>
      <c r="H22">
        <v>22728</v>
      </c>
      <c r="I22" s="21">
        <v>2.8717173625543171E-2</v>
      </c>
      <c r="J2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2" t="str" cm="1">
        <f t="array" ref="K2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22">
        <f>Engagment_Summary_Clean[[#This Row],[Engagement_Rate]]/Engagment_Summary_Clean[[#This Row],[Ad_Spend]]*100</f>
        <v>3.8454769447377683E-2</v>
      </c>
    </row>
    <row r="23" spans="1:12" x14ac:dyDescent="0.3">
      <c r="A23" s="11">
        <v>45481</v>
      </c>
      <c r="B23" t="s">
        <v>40</v>
      </c>
      <c r="C23">
        <v>350</v>
      </c>
      <c r="D23">
        <v>41</v>
      </c>
      <c r="E23">
        <v>251694</v>
      </c>
      <c r="F23">
        <v>1.91</v>
      </c>
      <c r="G23">
        <f>C23-Engagment_Summary_Clean[[#This Row],[Unfollows]]</f>
        <v>309</v>
      </c>
      <c r="H23">
        <v>38610</v>
      </c>
      <c r="I23" s="21">
        <v>1.2276812319721568E-3</v>
      </c>
      <c r="J2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3" t="str" cm="1">
        <f t="array" ref="K2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23">
        <f>Engagment_Summary_Clean[[#This Row],[Engagement_Rate]]/Engagment_Summary_Clean[[#This Row],[Ad_Spend]]*100</f>
        <v>4.9469049469049462E-3</v>
      </c>
    </row>
    <row r="24" spans="1:12" x14ac:dyDescent="0.3">
      <c r="A24" s="11">
        <v>45481</v>
      </c>
      <c r="B24" t="s">
        <v>14</v>
      </c>
      <c r="C24">
        <v>987</v>
      </c>
      <c r="D24">
        <v>440</v>
      </c>
      <c r="E24">
        <v>389810</v>
      </c>
      <c r="F24">
        <v>4.66</v>
      </c>
      <c r="G24">
        <f>C24-Engagment_Summary_Clean[[#This Row],[Unfollows]]</f>
        <v>547</v>
      </c>
      <c r="H24">
        <v>2932</v>
      </c>
      <c r="I24" s="21">
        <v>1.40324773607655E-3</v>
      </c>
      <c r="J2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4" t="str" cm="1">
        <f t="array" ref="K2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24">
        <f>Engagment_Summary_Clean[[#This Row],[Engagement_Rate]]/Engagment_Summary_Clean[[#This Row],[Ad_Spend]]*100</f>
        <v>0.15893587994542974</v>
      </c>
    </row>
    <row r="25" spans="1:12" x14ac:dyDescent="0.3">
      <c r="A25" s="11">
        <v>45481</v>
      </c>
      <c r="B25" t="s">
        <v>576</v>
      </c>
      <c r="C25">
        <v>883</v>
      </c>
      <c r="D25">
        <v>369</v>
      </c>
      <c r="E25">
        <v>233694</v>
      </c>
      <c r="F25">
        <v>2.88</v>
      </c>
      <c r="G25">
        <f>C25-Engagment_Summary_Clean[[#This Row],[Unfollows]]</f>
        <v>514</v>
      </c>
      <c r="H25">
        <v>15071</v>
      </c>
      <c r="I25" s="21">
        <v>2.1994574101175039E-3</v>
      </c>
      <c r="J2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5" t="str" cm="1">
        <f t="array" ref="K2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25">
        <f>Engagment_Summary_Clean[[#This Row],[Engagement_Rate]]/Engagment_Summary_Clean[[#This Row],[Ad_Spend]]*100</f>
        <v>1.9109548138809634E-2</v>
      </c>
    </row>
    <row r="26" spans="1:12" x14ac:dyDescent="0.3">
      <c r="A26" s="11">
        <v>45488</v>
      </c>
      <c r="B26" t="s">
        <v>31</v>
      </c>
      <c r="C26">
        <v>1960</v>
      </c>
      <c r="D26">
        <v>115</v>
      </c>
      <c r="E26">
        <v>154169</v>
      </c>
      <c r="F26">
        <v>3.74</v>
      </c>
      <c r="G26">
        <f>C26-Engagment_Summary_Clean[[#This Row],[Unfollows]]</f>
        <v>1845</v>
      </c>
      <c r="H26">
        <v>10740</v>
      </c>
      <c r="I26" s="21">
        <v>1.1967386439556591E-2</v>
      </c>
      <c r="J2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6" t="str" cm="1">
        <f t="array" ref="K2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26">
        <f>Engagment_Summary_Clean[[#This Row],[Engagement_Rate]]/Engagment_Summary_Clean[[#This Row],[Ad_Spend]]*100</f>
        <v>3.4823091247672251E-2</v>
      </c>
    </row>
    <row r="27" spans="1:12" x14ac:dyDescent="0.3">
      <c r="A27" s="11">
        <v>45488</v>
      </c>
      <c r="B27" t="s">
        <v>40</v>
      </c>
      <c r="C27">
        <v>170</v>
      </c>
      <c r="D27">
        <v>334</v>
      </c>
      <c r="E27">
        <v>334626</v>
      </c>
      <c r="F27">
        <v>6.44</v>
      </c>
      <c r="G27">
        <f>C27-Engagment_Summary_Clean[[#This Row],[Unfollows]]</f>
        <v>-164</v>
      </c>
      <c r="H27">
        <v>43420</v>
      </c>
      <c r="I27" s="21">
        <v>-4.9009939454794306E-4</v>
      </c>
      <c r="J2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7" t="str" cm="1">
        <f t="array" ref="K2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27">
        <f>Engagment_Summary_Clean[[#This Row],[Engagement_Rate]]/Engagment_Summary_Clean[[#This Row],[Ad_Spend]]*100</f>
        <v>1.4831874712114234E-2</v>
      </c>
    </row>
    <row r="28" spans="1:12" x14ac:dyDescent="0.3">
      <c r="A28" s="11">
        <v>45488</v>
      </c>
      <c r="B28" t="s">
        <v>14</v>
      </c>
      <c r="C28">
        <v>704</v>
      </c>
      <c r="D28">
        <v>275</v>
      </c>
      <c r="E28">
        <v>226002</v>
      </c>
      <c r="F28">
        <v>8.56</v>
      </c>
      <c r="G28">
        <f>C28-Engagment_Summary_Clean[[#This Row],[Unfollows]]</f>
        <v>429</v>
      </c>
      <c r="H28">
        <v>32393</v>
      </c>
      <c r="I28" s="21">
        <v>1.8982132901478749E-3</v>
      </c>
      <c r="J2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8" t="str" cm="1">
        <f t="array" ref="K2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28">
        <f>Engagment_Summary_Clean[[#This Row],[Engagement_Rate]]/Engagment_Summary_Clean[[#This Row],[Ad_Spend]]*100</f>
        <v>2.6425462291235761E-2</v>
      </c>
    </row>
    <row r="29" spans="1:12" x14ac:dyDescent="0.3">
      <c r="A29" s="11">
        <v>45488</v>
      </c>
      <c r="B29" t="s">
        <v>576</v>
      </c>
      <c r="C29">
        <v>224</v>
      </c>
      <c r="D29">
        <v>64</v>
      </c>
      <c r="E29">
        <v>156683</v>
      </c>
      <c r="F29">
        <v>4.5599999999999996</v>
      </c>
      <c r="G29">
        <f>C29-Engagment_Summary_Clean[[#This Row],[Unfollows]]</f>
        <v>160</v>
      </c>
      <c r="H29">
        <v>28474</v>
      </c>
      <c r="I29" s="21">
        <v>1.0211701333265254E-3</v>
      </c>
      <c r="J2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29" t="str" cm="1">
        <f t="array" ref="K2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29">
        <f>Engagment_Summary_Clean[[#This Row],[Engagement_Rate]]/Engagment_Summary_Clean[[#This Row],[Ad_Spend]]*100</f>
        <v>1.6014609819484441E-2</v>
      </c>
    </row>
    <row r="30" spans="1:12" x14ac:dyDescent="0.3">
      <c r="A30" s="11">
        <v>45495</v>
      </c>
      <c r="B30" t="s">
        <v>31</v>
      </c>
      <c r="C30">
        <v>508</v>
      </c>
      <c r="D30">
        <v>349</v>
      </c>
      <c r="E30">
        <v>473812</v>
      </c>
      <c r="F30">
        <v>7.88</v>
      </c>
      <c r="G30">
        <f>C30-Engagment_Summary_Clean[[#This Row],[Unfollows]]</f>
        <v>159</v>
      </c>
      <c r="H30">
        <v>17328</v>
      </c>
      <c r="I30" s="21">
        <v>3.3557613568250698E-4</v>
      </c>
      <c r="J3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0" t="str" cm="1">
        <f t="array" ref="K3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0">
        <f>Engagment_Summary_Clean[[#This Row],[Engagement_Rate]]/Engagment_Summary_Clean[[#This Row],[Ad_Spend]]*100</f>
        <v>4.5475530932594641E-2</v>
      </c>
    </row>
    <row r="31" spans="1:12" x14ac:dyDescent="0.3">
      <c r="A31" s="11">
        <v>45495</v>
      </c>
      <c r="B31" t="s">
        <v>40</v>
      </c>
      <c r="C31">
        <v>1391</v>
      </c>
      <c r="D31">
        <v>430</v>
      </c>
      <c r="E31">
        <v>295032</v>
      </c>
      <c r="F31">
        <v>7.86</v>
      </c>
      <c r="G31">
        <f>C31-Engagment_Summary_Clean[[#This Row],[Unfollows]]</f>
        <v>961</v>
      </c>
      <c r="H31">
        <v>26067</v>
      </c>
      <c r="I31" s="21">
        <v>3.2572737872501967E-3</v>
      </c>
      <c r="J3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1" t="str" cm="1">
        <f t="array" ref="K3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1">
        <f>Engagment_Summary_Clean[[#This Row],[Engagement_Rate]]/Engagment_Summary_Clean[[#This Row],[Ad_Spend]]*100</f>
        <v>3.0153067096328694E-2</v>
      </c>
    </row>
    <row r="32" spans="1:12" x14ac:dyDescent="0.3">
      <c r="A32" s="11">
        <v>45495</v>
      </c>
      <c r="B32" t="s">
        <v>14</v>
      </c>
      <c r="C32">
        <v>1701</v>
      </c>
      <c r="D32">
        <v>385</v>
      </c>
      <c r="E32">
        <v>198278</v>
      </c>
      <c r="F32">
        <v>5.34</v>
      </c>
      <c r="G32">
        <f>C32-Engagment_Summary_Clean[[#This Row],[Unfollows]]</f>
        <v>1316</v>
      </c>
      <c r="H32">
        <v>32763</v>
      </c>
      <c r="I32" s="21">
        <v>6.6371458255580548E-3</v>
      </c>
      <c r="J3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2" t="str" cm="1">
        <f t="array" ref="K3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2">
        <f>Engagment_Summary_Clean[[#This Row],[Engagement_Rate]]/Engagment_Summary_Clean[[#This Row],[Ad_Spend]]*100</f>
        <v>1.6298873729511949E-2</v>
      </c>
    </row>
    <row r="33" spans="1:12" x14ac:dyDescent="0.3">
      <c r="A33" s="11">
        <v>45495</v>
      </c>
      <c r="B33" t="s">
        <v>576</v>
      </c>
      <c r="C33">
        <v>804</v>
      </c>
      <c r="D33">
        <v>487</v>
      </c>
      <c r="E33">
        <v>306564</v>
      </c>
      <c r="F33">
        <v>5.52</v>
      </c>
      <c r="G33">
        <f>C33-Engagment_Summary_Clean[[#This Row],[Unfollows]]</f>
        <v>317</v>
      </c>
      <c r="H33">
        <v>26452</v>
      </c>
      <c r="I33" s="21">
        <v>1.0340418313957282E-3</v>
      </c>
      <c r="J3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3" t="str" cm="1">
        <f t="array" ref="K3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3">
        <f>Engagment_Summary_Clean[[#This Row],[Engagement_Rate]]/Engagment_Summary_Clean[[#This Row],[Ad_Spend]]*100</f>
        <v>2.0867987297746859E-2</v>
      </c>
    </row>
    <row r="34" spans="1:12" x14ac:dyDescent="0.3">
      <c r="A34" s="11">
        <v>45502</v>
      </c>
      <c r="B34" t="s">
        <v>31</v>
      </c>
      <c r="C34">
        <v>653</v>
      </c>
      <c r="D34">
        <v>112</v>
      </c>
      <c r="E34">
        <v>23664</v>
      </c>
      <c r="F34">
        <v>4.05</v>
      </c>
      <c r="G34">
        <f>C34-Engagment_Summary_Clean[[#This Row],[Unfollows]]</f>
        <v>541</v>
      </c>
      <c r="H34">
        <v>15353</v>
      </c>
      <c r="I34" s="21">
        <v>2.2861730899256253E-2</v>
      </c>
      <c r="J3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4" t="str" cm="1">
        <f t="array" ref="K3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4">
        <f>Engagment_Summary_Clean[[#This Row],[Engagement_Rate]]/Engagment_Summary_Clean[[#This Row],[Ad_Spend]]*100</f>
        <v>2.637920927506025E-2</v>
      </c>
    </row>
    <row r="35" spans="1:12" x14ac:dyDescent="0.3">
      <c r="A35" s="11">
        <v>45502</v>
      </c>
      <c r="B35" t="s">
        <v>40</v>
      </c>
      <c r="C35">
        <v>160</v>
      </c>
      <c r="D35">
        <v>478</v>
      </c>
      <c r="E35">
        <v>435034</v>
      </c>
      <c r="F35">
        <v>7.73</v>
      </c>
      <c r="G35">
        <f>C35-Engagment_Summary_Clean[[#This Row],[Unfollows]]</f>
        <v>-318</v>
      </c>
      <c r="H35">
        <v>4839</v>
      </c>
      <c r="I35" s="21">
        <v>-7.3097734889686784E-4</v>
      </c>
      <c r="J3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5" t="str" cm="1">
        <f t="array" ref="K3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5">
        <f>Engagment_Summary_Clean[[#This Row],[Engagement_Rate]]/Engagment_Summary_Clean[[#This Row],[Ad_Spend]]*100</f>
        <v>0.15974374870841085</v>
      </c>
    </row>
    <row r="36" spans="1:12" x14ac:dyDescent="0.3">
      <c r="A36" s="11">
        <v>45502</v>
      </c>
      <c r="B36" t="s">
        <v>14</v>
      </c>
      <c r="C36">
        <v>1756</v>
      </c>
      <c r="D36">
        <v>261</v>
      </c>
      <c r="E36">
        <v>287574</v>
      </c>
      <c r="F36">
        <v>4.3600000000000003</v>
      </c>
      <c r="G36">
        <f>C36-Engagment_Summary_Clean[[#This Row],[Unfollows]]</f>
        <v>1495</v>
      </c>
      <c r="H36">
        <v>39272</v>
      </c>
      <c r="I36" s="21">
        <v>5.1986619096302169E-3</v>
      </c>
      <c r="J3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6" t="str" cm="1">
        <f t="array" ref="K3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6">
        <f>Engagment_Summary_Clean[[#This Row],[Engagement_Rate]]/Engagment_Summary_Clean[[#This Row],[Ad_Spend]]*100</f>
        <v>1.110205744550825E-2</v>
      </c>
    </row>
    <row r="37" spans="1:12" x14ac:dyDescent="0.3">
      <c r="A37" s="11">
        <v>45502</v>
      </c>
      <c r="B37" t="s">
        <v>576</v>
      </c>
      <c r="C37">
        <v>576</v>
      </c>
      <c r="D37">
        <v>101</v>
      </c>
      <c r="E37">
        <v>62499</v>
      </c>
      <c r="F37">
        <v>3.48</v>
      </c>
      <c r="G37">
        <f>C37-Engagment_Summary_Clean[[#This Row],[Unfollows]]</f>
        <v>475</v>
      </c>
      <c r="H37">
        <v>16804</v>
      </c>
      <c r="I37" s="21">
        <v>7.600121601945631E-3</v>
      </c>
      <c r="J3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37" t="str" cm="1">
        <f t="array" ref="K3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7">
        <f>Engagment_Summary_Clean[[#This Row],[Engagement_Rate]]/Engagment_Summary_Clean[[#This Row],[Ad_Spend]]*100</f>
        <v>2.070935491549631E-2</v>
      </c>
    </row>
    <row r="38" spans="1:12" x14ac:dyDescent="0.3">
      <c r="A38" s="11">
        <v>45509</v>
      </c>
      <c r="B38" t="s">
        <v>31</v>
      </c>
      <c r="C38">
        <v>645</v>
      </c>
      <c r="D38">
        <v>293</v>
      </c>
      <c r="E38">
        <v>437968</v>
      </c>
      <c r="F38">
        <v>7.83</v>
      </c>
      <c r="G38">
        <f>C38-Engagment_Summary_Clean[[#This Row],[Unfollows]]</f>
        <v>352</v>
      </c>
      <c r="H38">
        <v>49303</v>
      </c>
      <c r="I38" s="21">
        <v>8.0371168669857163E-4</v>
      </c>
      <c r="J3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38" t="str" cm="1">
        <f t="array" ref="K3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8">
        <f>Engagment_Summary_Clean[[#This Row],[Engagement_Rate]]/Engagment_Summary_Clean[[#This Row],[Ad_Spend]]*100</f>
        <v>1.5881386528203152E-2</v>
      </c>
    </row>
    <row r="39" spans="1:12" x14ac:dyDescent="0.3">
      <c r="A39" s="11">
        <v>45509</v>
      </c>
      <c r="B39" t="s">
        <v>40</v>
      </c>
      <c r="C39">
        <v>214</v>
      </c>
      <c r="D39">
        <v>411</v>
      </c>
      <c r="E39">
        <v>125034</v>
      </c>
      <c r="F39">
        <v>6.11</v>
      </c>
      <c r="G39">
        <f>C39-Engagment_Summary_Clean[[#This Row],[Unfollows]]</f>
        <v>-197</v>
      </c>
      <c r="H39">
        <v>26455</v>
      </c>
      <c r="I39" s="21">
        <v>-1.5755714445670778E-3</v>
      </c>
      <c r="J3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39" t="str" cm="1">
        <f t="array" ref="K3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39">
        <f>Engagment_Summary_Clean[[#This Row],[Engagement_Rate]]/Engagment_Summary_Clean[[#This Row],[Ad_Spend]]*100</f>
        <v>2.3095823095823097E-2</v>
      </c>
    </row>
    <row r="40" spans="1:12" x14ac:dyDescent="0.3">
      <c r="A40" s="11">
        <v>45509</v>
      </c>
      <c r="B40" t="s">
        <v>14</v>
      </c>
      <c r="C40">
        <v>826</v>
      </c>
      <c r="D40">
        <v>498</v>
      </c>
      <c r="E40">
        <v>449994</v>
      </c>
      <c r="F40">
        <v>9.43</v>
      </c>
      <c r="G40">
        <f>C40-Engagment_Summary_Clean[[#This Row],[Unfollows]]</f>
        <v>328</v>
      </c>
      <c r="H40">
        <v>12384</v>
      </c>
      <c r="I40" s="21">
        <v>7.2889860753698943E-4</v>
      </c>
      <c r="J4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0" t="str" cm="1">
        <f t="array" ref="K4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0">
        <f>Engagment_Summary_Clean[[#This Row],[Engagement_Rate]]/Engagment_Summary_Clean[[#This Row],[Ad_Spend]]*100</f>
        <v>7.6146640826873391E-2</v>
      </c>
    </row>
    <row r="41" spans="1:12" x14ac:dyDescent="0.3">
      <c r="A41" s="11">
        <v>45509</v>
      </c>
      <c r="B41" t="s">
        <v>576</v>
      </c>
      <c r="C41">
        <v>460</v>
      </c>
      <c r="D41">
        <v>141</v>
      </c>
      <c r="E41">
        <v>320650</v>
      </c>
      <c r="F41">
        <v>4.04</v>
      </c>
      <c r="G41">
        <f>C41-Engagment_Summary_Clean[[#This Row],[Unfollows]]</f>
        <v>319</v>
      </c>
      <c r="H41">
        <v>49372</v>
      </c>
      <c r="I41" s="21">
        <v>9.9485420240137223E-4</v>
      </c>
      <c r="J4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1" t="str" cm="1">
        <f t="array" ref="K4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1">
        <f>Engagment_Summary_Clean[[#This Row],[Engagement_Rate]]/Engagment_Summary_Clean[[#This Row],[Ad_Spend]]*100</f>
        <v>8.1827756623187222E-3</v>
      </c>
    </row>
    <row r="42" spans="1:12" x14ac:dyDescent="0.3">
      <c r="A42" s="11">
        <v>45516</v>
      </c>
      <c r="B42" t="s">
        <v>31</v>
      </c>
      <c r="C42">
        <v>1528</v>
      </c>
      <c r="D42">
        <v>203</v>
      </c>
      <c r="E42">
        <v>489188</v>
      </c>
      <c r="F42">
        <v>6.23</v>
      </c>
      <c r="G42">
        <f>C42-Engagment_Summary_Clean[[#This Row],[Unfollows]]</f>
        <v>1325</v>
      </c>
      <c r="H42">
        <v>47101</v>
      </c>
      <c r="I42" s="21">
        <v>2.7085701202809553E-3</v>
      </c>
      <c r="J4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2" t="str" cm="1">
        <f t="array" ref="K4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2">
        <f>Engagment_Summary_Clean[[#This Row],[Engagement_Rate]]/Engagment_Summary_Clean[[#This Row],[Ad_Spend]]*100</f>
        <v>1.322689539500223E-2</v>
      </c>
    </row>
    <row r="43" spans="1:12" x14ac:dyDescent="0.3">
      <c r="A43" s="11">
        <v>45516</v>
      </c>
      <c r="B43" t="s">
        <v>40</v>
      </c>
      <c r="C43">
        <v>1534</v>
      </c>
      <c r="D43">
        <v>200</v>
      </c>
      <c r="E43">
        <v>307612</v>
      </c>
      <c r="F43">
        <v>6.01</v>
      </c>
      <c r="G43">
        <f>C43-Engagment_Summary_Clean[[#This Row],[Unfollows]]</f>
        <v>1334</v>
      </c>
      <c r="H43">
        <v>37903</v>
      </c>
      <c r="I43" s="21">
        <v>4.3366318609156986E-3</v>
      </c>
      <c r="J4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3" t="str" cm="1">
        <f t="array" ref="K4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3">
        <f>Engagment_Summary_Clean[[#This Row],[Engagement_Rate]]/Engagment_Summary_Clean[[#This Row],[Ad_Spend]]*100</f>
        <v>1.5856264675619344E-2</v>
      </c>
    </row>
    <row r="44" spans="1:12" x14ac:dyDescent="0.3">
      <c r="A44" s="11">
        <v>45516</v>
      </c>
      <c r="B44" t="s">
        <v>14</v>
      </c>
      <c r="C44">
        <v>485</v>
      </c>
      <c r="D44">
        <v>448</v>
      </c>
      <c r="E44">
        <v>434883</v>
      </c>
      <c r="F44">
        <v>8.5500000000000007</v>
      </c>
      <c r="G44">
        <f>C44-Engagment_Summary_Clean[[#This Row],[Unfollows]]</f>
        <v>37</v>
      </c>
      <c r="H44">
        <v>33258</v>
      </c>
      <c r="I44" s="21">
        <v>8.5080354946042954E-5</v>
      </c>
      <c r="J4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4" t="str" cm="1">
        <f t="array" ref="K4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4">
        <f>Engagment_Summary_Clean[[#This Row],[Engagement_Rate]]/Engagment_Summary_Clean[[#This Row],[Ad_Spend]]*100</f>
        <v>2.570810030669313E-2</v>
      </c>
    </row>
    <row r="45" spans="1:12" x14ac:dyDescent="0.3">
      <c r="A45" s="11">
        <v>45516</v>
      </c>
      <c r="B45" t="s">
        <v>576</v>
      </c>
      <c r="C45">
        <v>1210</v>
      </c>
      <c r="D45">
        <v>178</v>
      </c>
      <c r="E45">
        <v>102042</v>
      </c>
      <c r="F45">
        <v>5.42</v>
      </c>
      <c r="G45">
        <f>C45-Engagment_Summary_Clean[[#This Row],[Unfollows]]</f>
        <v>1032</v>
      </c>
      <c r="H45">
        <v>6915</v>
      </c>
      <c r="I45" s="21">
        <v>1.011348268360087E-2</v>
      </c>
      <c r="J4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5" t="str" cm="1">
        <f t="array" ref="K4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5">
        <f>Engagment_Summary_Clean[[#This Row],[Engagement_Rate]]/Engagment_Summary_Clean[[#This Row],[Ad_Spend]]*100</f>
        <v>7.8380332610267542E-2</v>
      </c>
    </row>
    <row r="46" spans="1:12" x14ac:dyDescent="0.3">
      <c r="A46" s="11">
        <v>45523</v>
      </c>
      <c r="B46" t="s">
        <v>31</v>
      </c>
      <c r="C46">
        <v>215</v>
      </c>
      <c r="D46">
        <v>139</v>
      </c>
      <c r="E46">
        <v>325444</v>
      </c>
      <c r="F46">
        <v>3.25</v>
      </c>
      <c r="G46">
        <f>C46-Engagment_Summary_Clean[[#This Row],[Unfollows]]</f>
        <v>76</v>
      </c>
      <c r="H46">
        <v>35501</v>
      </c>
      <c r="I46" s="21">
        <v>2.335271198731579E-4</v>
      </c>
      <c r="J4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6" t="str" cm="1">
        <f t="array" ref="K4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6">
        <f>Engagment_Summary_Clean[[#This Row],[Engagement_Rate]]/Engagment_Summary_Clean[[#This Row],[Ad_Spend]]*100</f>
        <v>9.1546716993887497E-3</v>
      </c>
    </row>
    <row r="47" spans="1:12" x14ac:dyDescent="0.3">
      <c r="A47" s="11">
        <v>45523</v>
      </c>
      <c r="B47" t="s">
        <v>40</v>
      </c>
      <c r="C47">
        <v>1078</v>
      </c>
      <c r="D47">
        <v>20</v>
      </c>
      <c r="E47">
        <v>183924</v>
      </c>
      <c r="F47">
        <v>8.84</v>
      </c>
      <c r="G47">
        <f>C47-Engagment_Summary_Clean[[#This Row],[Unfollows]]</f>
        <v>1058</v>
      </c>
      <c r="H47">
        <v>14203</v>
      </c>
      <c r="I47" s="21">
        <v>5.7523759813836147E-3</v>
      </c>
      <c r="J4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7" t="str" cm="1">
        <f t="array" ref="K4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7">
        <f>Engagment_Summary_Clean[[#This Row],[Engagement_Rate]]/Engagment_Summary_Clean[[#This Row],[Ad_Spend]]*100</f>
        <v>6.224037175244667E-2</v>
      </c>
    </row>
    <row r="48" spans="1:12" x14ac:dyDescent="0.3">
      <c r="A48" s="11">
        <v>45523</v>
      </c>
      <c r="B48" t="s">
        <v>14</v>
      </c>
      <c r="C48">
        <v>1751</v>
      </c>
      <c r="D48">
        <v>86</v>
      </c>
      <c r="E48">
        <v>188655</v>
      </c>
      <c r="F48">
        <v>7.24</v>
      </c>
      <c r="G48">
        <f>C48-Engagment_Summary_Clean[[#This Row],[Unfollows]]</f>
        <v>1665</v>
      </c>
      <c r="H48">
        <v>22206</v>
      </c>
      <c r="I48" s="21">
        <v>8.825634093981077E-3</v>
      </c>
      <c r="J4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8" t="str" cm="1">
        <f t="array" ref="K4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8">
        <f>Engagment_Summary_Clean[[#This Row],[Engagement_Rate]]/Engagment_Summary_Clean[[#This Row],[Ad_Spend]]*100</f>
        <v>3.2603800774565435E-2</v>
      </c>
    </row>
    <row r="49" spans="1:12" x14ac:dyDescent="0.3">
      <c r="A49" s="11">
        <v>45523</v>
      </c>
      <c r="B49" t="s">
        <v>576</v>
      </c>
      <c r="C49">
        <v>221</v>
      </c>
      <c r="D49">
        <v>31</v>
      </c>
      <c r="E49">
        <v>87443</v>
      </c>
      <c r="F49">
        <v>6.19</v>
      </c>
      <c r="G49">
        <f>C49-Engagment_Summary_Clean[[#This Row],[Unfollows]]</f>
        <v>190</v>
      </c>
      <c r="H49">
        <v>10283</v>
      </c>
      <c r="I49" s="21">
        <v>2.1728440241071327E-3</v>
      </c>
      <c r="J4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49" t="str" cm="1">
        <f t="array" ref="K4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49">
        <f>Engagment_Summary_Clean[[#This Row],[Engagement_Rate]]/Engagment_Summary_Clean[[#This Row],[Ad_Spend]]*100</f>
        <v>6.0196440727414181E-2</v>
      </c>
    </row>
    <row r="50" spans="1:12" x14ac:dyDescent="0.3">
      <c r="A50" s="11">
        <v>45530</v>
      </c>
      <c r="B50" t="s">
        <v>31</v>
      </c>
      <c r="C50">
        <v>1685</v>
      </c>
      <c r="D50">
        <v>76</v>
      </c>
      <c r="E50">
        <v>453799</v>
      </c>
      <c r="F50">
        <v>5.71</v>
      </c>
      <c r="G50">
        <f>C50-Engagment_Summary_Clean[[#This Row],[Unfollows]]</f>
        <v>1609</v>
      </c>
      <c r="H50">
        <v>24913</v>
      </c>
      <c r="I50" s="21">
        <v>3.5456226214689766E-3</v>
      </c>
      <c r="J5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50" t="str" cm="1">
        <f t="array" ref="K5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50">
        <f>Engagment_Summary_Clean[[#This Row],[Engagement_Rate]]/Engagment_Summary_Clean[[#This Row],[Ad_Spend]]*100</f>
        <v>2.29197607674708E-2</v>
      </c>
    </row>
    <row r="51" spans="1:12" x14ac:dyDescent="0.3">
      <c r="A51" s="11">
        <v>45530</v>
      </c>
      <c r="B51" t="s">
        <v>40</v>
      </c>
      <c r="C51">
        <v>248</v>
      </c>
      <c r="D51">
        <v>211</v>
      </c>
      <c r="E51">
        <v>379380</v>
      </c>
      <c r="F51">
        <v>9.0399999999999991</v>
      </c>
      <c r="G51">
        <f>C51-Engagment_Summary_Clean[[#This Row],[Unfollows]]</f>
        <v>37</v>
      </c>
      <c r="H51">
        <v>26925</v>
      </c>
      <c r="I51" s="21">
        <v>9.7527544941747058E-5</v>
      </c>
      <c r="J5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51" t="str" cm="1">
        <f t="array" ref="K5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51">
        <f>Engagment_Summary_Clean[[#This Row],[Engagement_Rate]]/Engagment_Summary_Clean[[#This Row],[Ad_Spend]]*100</f>
        <v>3.3574744661095633E-2</v>
      </c>
    </row>
    <row r="52" spans="1:12" x14ac:dyDescent="0.3">
      <c r="A52" s="11">
        <v>45530</v>
      </c>
      <c r="B52" t="s">
        <v>14</v>
      </c>
      <c r="C52">
        <v>1300</v>
      </c>
      <c r="D52">
        <v>71</v>
      </c>
      <c r="E52">
        <v>186454</v>
      </c>
      <c r="F52">
        <v>3.91</v>
      </c>
      <c r="G52">
        <f>C52-Engagment_Summary_Clean[[#This Row],[Unfollows]]</f>
        <v>1229</v>
      </c>
      <c r="H52">
        <v>9942</v>
      </c>
      <c r="I52" s="21">
        <v>6.5914381026955706E-3</v>
      </c>
      <c r="J5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52" t="str" cm="1">
        <f t="array" ref="K5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52">
        <f>Engagment_Summary_Clean[[#This Row],[Engagement_Rate]]/Engagment_Summary_Clean[[#This Row],[Ad_Spend]]*100</f>
        <v>3.9328102997384831E-2</v>
      </c>
    </row>
    <row r="53" spans="1:12" x14ac:dyDescent="0.3">
      <c r="A53" s="11">
        <v>45530</v>
      </c>
      <c r="B53" t="s">
        <v>576</v>
      </c>
      <c r="C53">
        <v>422</v>
      </c>
      <c r="D53">
        <v>394</v>
      </c>
      <c r="E53">
        <v>239044</v>
      </c>
      <c r="F53">
        <v>7.83</v>
      </c>
      <c r="G53">
        <f>C53-Engagment_Summary_Clean[[#This Row],[Unfollows]]</f>
        <v>28</v>
      </c>
      <c r="H53">
        <v>32929</v>
      </c>
      <c r="I53" s="21">
        <v>1.1713324743561855E-4</v>
      </c>
      <c r="J5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53" t="str" cm="1">
        <f t="array" ref="K5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FashionUpgrade</v>
      </c>
      <c r="L53">
        <f>Engagment_Summary_Clean[[#This Row],[Engagement_Rate]]/Engagment_Summary_Clean[[#This Row],[Ad_Spend]]*100</f>
        <v>2.3778432384827963E-2</v>
      </c>
    </row>
    <row r="54" spans="1:12" x14ac:dyDescent="0.3">
      <c r="A54" s="11">
        <v>45537</v>
      </c>
      <c r="B54" t="s">
        <v>31</v>
      </c>
      <c r="C54">
        <v>1429</v>
      </c>
      <c r="D54">
        <v>182</v>
      </c>
      <c r="E54">
        <v>101332</v>
      </c>
      <c r="F54">
        <v>7.16</v>
      </c>
      <c r="G54">
        <f>C54-Engagment_Summary_Clean[[#This Row],[Unfollows]]</f>
        <v>1247</v>
      </c>
      <c r="H54">
        <v>37829</v>
      </c>
      <c r="I54" s="21">
        <v>1.2306082974775983E-2</v>
      </c>
      <c r="J5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54" t="str" cm="1">
        <f t="array" ref="K5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54">
        <f>Engagment_Summary_Clean[[#This Row],[Engagement_Rate]]/Engagment_Summary_Clean[[#This Row],[Ad_Spend]]*100</f>
        <v>1.8927278014221893E-2</v>
      </c>
    </row>
    <row r="55" spans="1:12" x14ac:dyDescent="0.3">
      <c r="A55" s="11">
        <v>45537</v>
      </c>
      <c r="B55" t="s">
        <v>40</v>
      </c>
      <c r="C55">
        <v>1520</v>
      </c>
      <c r="D55">
        <v>475</v>
      </c>
      <c r="E55">
        <v>496982</v>
      </c>
      <c r="F55">
        <v>6.41</v>
      </c>
      <c r="G55">
        <f>C55-Engagment_Summary_Clean[[#This Row],[Unfollows]]</f>
        <v>1045</v>
      </c>
      <c r="H55">
        <v>24384</v>
      </c>
      <c r="I55" s="21">
        <v>2.1026918479944948E-3</v>
      </c>
      <c r="J5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55" t="str" cm="1">
        <f t="array" ref="K5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55">
        <f>Engagment_Summary_Clean[[#This Row],[Engagement_Rate]]/Engagment_Summary_Clean[[#This Row],[Ad_Spend]]*100</f>
        <v>2.6287729658792655E-2</v>
      </c>
    </row>
    <row r="56" spans="1:12" x14ac:dyDescent="0.3">
      <c r="A56" s="11">
        <v>45537</v>
      </c>
      <c r="B56" t="s">
        <v>14</v>
      </c>
      <c r="C56">
        <v>557</v>
      </c>
      <c r="D56">
        <v>360</v>
      </c>
      <c r="E56">
        <v>318779</v>
      </c>
      <c r="F56">
        <v>8.02</v>
      </c>
      <c r="G56">
        <f>C56-Engagment_Summary_Clean[[#This Row],[Unfollows]]</f>
        <v>197</v>
      </c>
      <c r="H56">
        <v>25797</v>
      </c>
      <c r="I56" s="21">
        <v>6.1798299135137512E-4</v>
      </c>
      <c r="J5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56" t="str" cm="1">
        <f t="array" ref="K5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56">
        <f>Engagment_Summary_Clean[[#This Row],[Engagement_Rate]]/Engagment_Summary_Clean[[#This Row],[Ad_Spend]]*100</f>
        <v>3.108888630460906E-2</v>
      </c>
    </row>
    <row r="57" spans="1:12" x14ac:dyDescent="0.3">
      <c r="A57" s="11">
        <v>45537</v>
      </c>
      <c r="B57" t="s">
        <v>576</v>
      </c>
      <c r="C57">
        <v>728</v>
      </c>
      <c r="D57">
        <v>395</v>
      </c>
      <c r="E57">
        <v>370971</v>
      </c>
      <c r="F57">
        <v>3.86</v>
      </c>
      <c r="G57">
        <f>C57-Engagment_Summary_Clean[[#This Row],[Unfollows]]</f>
        <v>333</v>
      </c>
      <c r="H57">
        <v>12646</v>
      </c>
      <c r="I57" s="21">
        <v>8.9764429025449434E-4</v>
      </c>
      <c r="J5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57" t="str" cm="1">
        <f t="array" ref="K5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57">
        <f>Engagment_Summary_Clean[[#This Row],[Engagement_Rate]]/Engagment_Summary_Clean[[#This Row],[Ad_Spend]]*100</f>
        <v>3.052348568717381E-2</v>
      </c>
    </row>
    <row r="58" spans="1:12" x14ac:dyDescent="0.3">
      <c r="A58" s="11">
        <v>45544</v>
      </c>
      <c r="B58" t="s">
        <v>31</v>
      </c>
      <c r="C58">
        <v>1592</v>
      </c>
      <c r="D58">
        <v>20</v>
      </c>
      <c r="E58">
        <v>378054</v>
      </c>
      <c r="F58">
        <v>9.09</v>
      </c>
      <c r="G58">
        <f>C58-Engagment_Summary_Clean[[#This Row],[Unfollows]]</f>
        <v>1572</v>
      </c>
      <c r="H58">
        <v>26663</v>
      </c>
      <c r="I58" s="21">
        <v>4.1581361392816901E-3</v>
      </c>
      <c r="J5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58" t="str" cm="1">
        <f t="array" ref="K5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58">
        <f>Engagment_Summary_Clean[[#This Row],[Engagement_Rate]]/Engagment_Summary_Clean[[#This Row],[Ad_Spend]]*100</f>
        <v>3.4092187675805422E-2</v>
      </c>
    </row>
    <row r="59" spans="1:12" x14ac:dyDescent="0.3">
      <c r="A59" s="11">
        <v>45544</v>
      </c>
      <c r="B59" t="s">
        <v>40</v>
      </c>
      <c r="C59">
        <v>1842</v>
      </c>
      <c r="D59">
        <v>414</v>
      </c>
      <c r="E59">
        <v>307524</v>
      </c>
      <c r="F59">
        <v>1.76</v>
      </c>
      <c r="G59">
        <f>C59-Engagment_Summary_Clean[[#This Row],[Unfollows]]</f>
        <v>1428</v>
      </c>
      <c r="H59">
        <v>40478</v>
      </c>
      <c r="I59" s="21">
        <v>4.6435400163889647E-3</v>
      </c>
      <c r="J5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59" t="str" cm="1">
        <f t="array" ref="K5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59">
        <f>Engagment_Summary_Clean[[#This Row],[Engagement_Rate]]/Engagment_Summary_Clean[[#This Row],[Ad_Spend]]*100</f>
        <v>4.3480409111122092E-3</v>
      </c>
    </row>
    <row r="60" spans="1:12" x14ac:dyDescent="0.3">
      <c r="A60" s="11">
        <v>45544</v>
      </c>
      <c r="B60" t="s">
        <v>14</v>
      </c>
      <c r="C60">
        <v>751</v>
      </c>
      <c r="D60">
        <v>491</v>
      </c>
      <c r="E60">
        <v>434047</v>
      </c>
      <c r="F60">
        <v>9.24</v>
      </c>
      <c r="G60">
        <f>C60-Engagment_Summary_Clean[[#This Row],[Unfollows]]</f>
        <v>260</v>
      </c>
      <c r="H60">
        <v>15476</v>
      </c>
      <c r="I60" s="21">
        <v>5.990134708914012E-4</v>
      </c>
      <c r="J6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0" t="str" cm="1">
        <f t="array" ref="K6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0">
        <f>Engagment_Summary_Clean[[#This Row],[Engagement_Rate]]/Engagment_Summary_Clean[[#This Row],[Ad_Spend]]*100</f>
        <v>5.9705350219695009E-2</v>
      </c>
    </row>
    <row r="61" spans="1:12" x14ac:dyDescent="0.3">
      <c r="A61" s="11">
        <v>45544</v>
      </c>
      <c r="B61" t="s">
        <v>576</v>
      </c>
      <c r="C61">
        <v>1409</v>
      </c>
      <c r="D61">
        <v>309</v>
      </c>
      <c r="E61">
        <v>64583</v>
      </c>
      <c r="F61">
        <v>8.99</v>
      </c>
      <c r="G61">
        <f>C61-Engagment_Summary_Clean[[#This Row],[Unfollows]]</f>
        <v>1100</v>
      </c>
      <c r="H61">
        <v>10217</v>
      </c>
      <c r="I61" s="21">
        <v>1.7032345973398571E-2</v>
      </c>
      <c r="J6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1" t="str" cm="1">
        <f t="array" ref="K6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1">
        <f>Engagment_Summary_Clean[[#This Row],[Engagement_Rate]]/Engagment_Summary_Clean[[#This Row],[Ad_Spend]]*100</f>
        <v>8.7990603895468339E-2</v>
      </c>
    </row>
    <row r="62" spans="1:12" x14ac:dyDescent="0.3">
      <c r="A62" s="11">
        <v>45551</v>
      </c>
      <c r="B62" t="s">
        <v>31</v>
      </c>
      <c r="C62">
        <v>778</v>
      </c>
      <c r="D62">
        <v>401</v>
      </c>
      <c r="E62">
        <v>50793</v>
      </c>
      <c r="F62">
        <v>3.4</v>
      </c>
      <c r="G62">
        <f>C62-Engagment_Summary_Clean[[#This Row],[Unfollows]]</f>
        <v>377</v>
      </c>
      <c r="H62">
        <v>21939</v>
      </c>
      <c r="I62" s="21">
        <v>7.4222825979957871E-3</v>
      </c>
      <c r="J6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2" t="str" cm="1">
        <f t="array" ref="K6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2">
        <f>Engagment_Summary_Clean[[#This Row],[Engagement_Rate]]/Engagment_Summary_Clean[[#This Row],[Ad_Spend]]*100</f>
        <v>1.5497515839372806E-2</v>
      </c>
    </row>
    <row r="63" spans="1:12" x14ac:dyDescent="0.3">
      <c r="A63" s="11">
        <v>45551</v>
      </c>
      <c r="B63" t="s">
        <v>40</v>
      </c>
      <c r="C63">
        <v>443</v>
      </c>
      <c r="D63">
        <v>345</v>
      </c>
      <c r="E63">
        <v>474162</v>
      </c>
      <c r="F63">
        <v>9.1999999999999993</v>
      </c>
      <c r="G63">
        <f>C63-Engagment_Summary_Clean[[#This Row],[Unfollows]]</f>
        <v>98</v>
      </c>
      <c r="H63">
        <v>47462</v>
      </c>
      <c r="I63" s="21">
        <v>2.0668041724136477E-4</v>
      </c>
      <c r="J6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3" t="str" cm="1">
        <f t="array" ref="K6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3">
        <f>Engagment_Summary_Clean[[#This Row],[Engagement_Rate]]/Engagment_Summary_Clean[[#This Row],[Ad_Spend]]*100</f>
        <v>1.9383928195187729E-2</v>
      </c>
    </row>
    <row r="64" spans="1:12" x14ac:dyDescent="0.3">
      <c r="A64" s="11">
        <v>45551</v>
      </c>
      <c r="B64" t="s">
        <v>14</v>
      </c>
      <c r="C64">
        <v>1472</v>
      </c>
      <c r="D64">
        <v>347</v>
      </c>
      <c r="E64">
        <v>392355</v>
      </c>
      <c r="F64">
        <v>8.59</v>
      </c>
      <c r="G64">
        <f>C64-Engagment_Summary_Clean[[#This Row],[Unfollows]]</f>
        <v>1125</v>
      </c>
      <c r="H64">
        <v>30270</v>
      </c>
      <c r="I64" s="21">
        <v>2.8673012960201858E-3</v>
      </c>
      <c r="J6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4" t="str" cm="1">
        <f t="array" ref="K6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4">
        <f>Engagment_Summary_Clean[[#This Row],[Engagement_Rate]]/Engagment_Summary_Clean[[#This Row],[Ad_Spend]]*100</f>
        <v>2.8377931945820944E-2</v>
      </c>
    </row>
    <row r="65" spans="1:12" x14ac:dyDescent="0.3">
      <c r="A65" s="11">
        <v>45551</v>
      </c>
      <c r="B65" t="s">
        <v>576</v>
      </c>
      <c r="C65">
        <v>123</v>
      </c>
      <c r="D65">
        <v>155</v>
      </c>
      <c r="E65">
        <v>119934</v>
      </c>
      <c r="F65">
        <v>3.5</v>
      </c>
      <c r="G65">
        <f>C65-Engagment_Summary_Clean[[#This Row],[Unfollows]]</f>
        <v>-32</v>
      </c>
      <c r="H65">
        <v>5442</v>
      </c>
      <c r="I65" s="21">
        <v>-2.6681341404439108E-4</v>
      </c>
      <c r="J6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5" t="str" cm="1">
        <f t="array" ref="K6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5">
        <f>Engagment_Summary_Clean[[#This Row],[Engagement_Rate]]/Engagment_Summary_Clean[[#This Row],[Ad_Spend]]*100</f>
        <v>6.4314590224182289E-2</v>
      </c>
    </row>
    <row r="66" spans="1:12" x14ac:dyDescent="0.3">
      <c r="A66" s="11">
        <v>45558</v>
      </c>
      <c r="B66" t="s">
        <v>31</v>
      </c>
      <c r="C66">
        <v>817</v>
      </c>
      <c r="D66">
        <v>151</v>
      </c>
      <c r="E66">
        <v>422625</v>
      </c>
      <c r="F66">
        <v>2.36</v>
      </c>
      <c r="G66">
        <f>C66-Engagment_Summary_Clean[[#This Row],[Unfollows]]</f>
        <v>666</v>
      </c>
      <c r="H66">
        <v>1083</v>
      </c>
      <c r="I66" s="21">
        <v>1.5758651286601596E-3</v>
      </c>
      <c r="J6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6" t="str" cm="1">
        <f t="array" ref="K6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6">
        <f>Engagment_Summary_Clean[[#This Row],[Engagement_Rate]]/Engagment_Summary_Clean[[#This Row],[Ad_Spend]]*100</f>
        <v>0.21791320406278855</v>
      </c>
    </row>
    <row r="67" spans="1:12" x14ac:dyDescent="0.3">
      <c r="A67" s="11">
        <v>45558</v>
      </c>
      <c r="B67" t="s">
        <v>40</v>
      </c>
      <c r="C67">
        <v>198</v>
      </c>
      <c r="D67">
        <v>217</v>
      </c>
      <c r="E67">
        <v>239753</v>
      </c>
      <c r="F67">
        <v>7.36</v>
      </c>
      <c r="G67">
        <f>C67-Engagment_Summary_Clean[[#This Row],[Unfollows]]</f>
        <v>-19</v>
      </c>
      <c r="H67">
        <v>11901</v>
      </c>
      <c r="I67" s="21">
        <v>-7.9248226299566635E-5</v>
      </c>
      <c r="J6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7" t="str" cm="1">
        <f t="array" ref="K6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7">
        <f>Engagment_Summary_Clean[[#This Row],[Engagement_Rate]]/Engagment_Summary_Clean[[#This Row],[Ad_Spend]]*100</f>
        <v>6.1843542559448787E-2</v>
      </c>
    </row>
    <row r="68" spans="1:12" x14ac:dyDescent="0.3">
      <c r="A68" s="11">
        <v>45558</v>
      </c>
      <c r="B68" t="s">
        <v>14</v>
      </c>
      <c r="C68">
        <v>1911</v>
      </c>
      <c r="D68">
        <v>231</v>
      </c>
      <c r="E68">
        <v>268516</v>
      </c>
      <c r="F68">
        <v>8.5500000000000007</v>
      </c>
      <c r="G68">
        <f>C68-Engagment_Summary_Clean[[#This Row],[Unfollows]]</f>
        <v>1680</v>
      </c>
      <c r="H68">
        <v>24018</v>
      </c>
      <c r="I68" s="21">
        <v>6.2566104068286429E-3</v>
      </c>
      <c r="J6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8" t="str" cm="1">
        <f t="array" ref="K6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8">
        <f>Engagment_Summary_Clean[[#This Row],[Engagement_Rate]]/Engagment_Summary_Clean[[#This Row],[Ad_Spend]]*100</f>
        <v>3.5598301274044467E-2</v>
      </c>
    </row>
    <row r="69" spans="1:12" x14ac:dyDescent="0.3">
      <c r="A69" s="11">
        <v>45558</v>
      </c>
      <c r="B69" t="s">
        <v>576</v>
      </c>
      <c r="C69">
        <v>1218</v>
      </c>
      <c r="D69">
        <v>212</v>
      </c>
      <c r="E69">
        <v>63177</v>
      </c>
      <c r="F69">
        <v>8.1300000000000008</v>
      </c>
      <c r="G69">
        <f>C69-Engagment_Summary_Clean[[#This Row],[Unfollows]]</f>
        <v>1006</v>
      </c>
      <c r="H69">
        <v>38883</v>
      </c>
      <c r="I69" s="21">
        <v>1.592351646960128E-2</v>
      </c>
      <c r="J6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69" t="str" cm="1">
        <f t="array" ref="K6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69">
        <f>Engagment_Summary_Clean[[#This Row],[Engagement_Rate]]/Engagment_Summary_Clean[[#This Row],[Ad_Spend]]*100</f>
        <v>2.0908880487616698E-2</v>
      </c>
    </row>
    <row r="70" spans="1:12" x14ac:dyDescent="0.3">
      <c r="A70" s="11">
        <v>45565</v>
      </c>
      <c r="B70" t="s">
        <v>31</v>
      </c>
      <c r="C70">
        <v>1433</v>
      </c>
      <c r="D70">
        <v>408</v>
      </c>
      <c r="E70">
        <v>370269</v>
      </c>
      <c r="F70">
        <v>3.3</v>
      </c>
      <c r="G70">
        <f>C70-Engagment_Summary_Clean[[#This Row],[Unfollows]]</f>
        <v>1025</v>
      </c>
      <c r="H70">
        <v>30575</v>
      </c>
      <c r="I70" s="21">
        <v>2.7682576721248606E-3</v>
      </c>
      <c r="J7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70" t="str" cm="1">
        <f t="array" ref="K7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0">
        <f>Engagment_Summary_Clean[[#This Row],[Engagement_Rate]]/Engagment_Summary_Clean[[#This Row],[Ad_Spend]]*100</f>
        <v>1.079313164349959E-2</v>
      </c>
    </row>
    <row r="71" spans="1:12" x14ac:dyDescent="0.3">
      <c r="A71" s="11">
        <v>45565</v>
      </c>
      <c r="B71" t="s">
        <v>40</v>
      </c>
      <c r="C71">
        <v>250</v>
      </c>
      <c r="D71">
        <v>429</v>
      </c>
      <c r="E71">
        <v>453423</v>
      </c>
      <c r="F71">
        <v>1.77</v>
      </c>
      <c r="G71">
        <f>C71-Engagment_Summary_Clean[[#This Row],[Unfollows]]</f>
        <v>-179</v>
      </c>
      <c r="H71">
        <v>2315</v>
      </c>
      <c r="I71" s="21">
        <v>-3.9477485703195471E-4</v>
      </c>
      <c r="J7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71" t="str" cm="1">
        <f t="array" ref="K7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1">
        <f>Engagment_Summary_Clean[[#This Row],[Engagement_Rate]]/Engagment_Summary_Clean[[#This Row],[Ad_Spend]]*100</f>
        <v>7.6457883369330445E-2</v>
      </c>
    </row>
    <row r="72" spans="1:12" x14ac:dyDescent="0.3">
      <c r="A72" s="11">
        <v>45565</v>
      </c>
      <c r="B72" t="s">
        <v>14</v>
      </c>
      <c r="C72">
        <v>752</v>
      </c>
      <c r="D72">
        <v>153</v>
      </c>
      <c r="E72">
        <v>64906</v>
      </c>
      <c r="F72">
        <v>2.09</v>
      </c>
      <c r="G72">
        <f>C72-Engagment_Summary_Clean[[#This Row],[Unfollows]]</f>
        <v>599</v>
      </c>
      <c r="H72">
        <v>12148</v>
      </c>
      <c r="I72" s="21">
        <v>9.2287307798970819E-3</v>
      </c>
      <c r="J7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72" t="str" cm="1">
        <f t="array" ref="K7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2">
        <f>Engagment_Summary_Clean[[#This Row],[Engagement_Rate]]/Engagment_Summary_Clean[[#This Row],[Ad_Spend]]*100</f>
        <v>1.7204478103391502E-2</v>
      </c>
    </row>
    <row r="73" spans="1:12" x14ac:dyDescent="0.3">
      <c r="A73" s="11">
        <v>45565</v>
      </c>
      <c r="B73" t="s">
        <v>576</v>
      </c>
      <c r="C73">
        <v>1918</v>
      </c>
      <c r="D73">
        <v>212</v>
      </c>
      <c r="E73">
        <v>94360</v>
      </c>
      <c r="F73">
        <v>7.36</v>
      </c>
      <c r="G73">
        <f>C73-Engagment_Summary_Clean[[#This Row],[Unfollows]]</f>
        <v>1706</v>
      </c>
      <c r="H73">
        <v>36851</v>
      </c>
      <c r="I73" s="21">
        <v>1.8079694785926241E-2</v>
      </c>
      <c r="J7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73" t="str" cm="1">
        <f t="array" ref="K7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3">
        <f>Engagment_Summary_Clean[[#This Row],[Engagement_Rate]]/Engagment_Summary_Clean[[#This Row],[Ad_Spend]]*100</f>
        <v>1.9972320968223389E-2</v>
      </c>
    </row>
    <row r="74" spans="1:12" x14ac:dyDescent="0.3">
      <c r="A74" s="11">
        <v>45572</v>
      </c>
      <c r="B74" t="s">
        <v>31</v>
      </c>
      <c r="C74">
        <v>1939</v>
      </c>
      <c r="D74">
        <v>67</v>
      </c>
      <c r="E74">
        <v>187183</v>
      </c>
      <c r="F74">
        <v>6.25</v>
      </c>
      <c r="G74">
        <f>C74-Engagment_Summary_Clean[[#This Row],[Unfollows]]</f>
        <v>1872</v>
      </c>
      <c r="H74">
        <v>41215</v>
      </c>
      <c r="I74" s="21">
        <v>1.0000908202133741E-2</v>
      </c>
      <c r="J7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74" t="str" cm="1">
        <f t="array" ref="K7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4">
        <f>Engagment_Summary_Clean[[#This Row],[Engagement_Rate]]/Engagment_Summary_Clean[[#This Row],[Ad_Spend]]*100</f>
        <v>1.5164381899793763E-2</v>
      </c>
    </row>
    <row r="75" spans="1:12" x14ac:dyDescent="0.3">
      <c r="A75" s="11">
        <v>45572</v>
      </c>
      <c r="B75" t="s">
        <v>40</v>
      </c>
      <c r="C75">
        <v>1929</v>
      </c>
      <c r="D75">
        <v>267</v>
      </c>
      <c r="E75">
        <v>379363</v>
      </c>
      <c r="F75">
        <v>1.75</v>
      </c>
      <c r="G75">
        <f>C75-Engagment_Summary_Clean[[#This Row],[Unfollows]]</f>
        <v>1662</v>
      </c>
      <c r="H75">
        <v>43836</v>
      </c>
      <c r="I75" s="21">
        <v>4.3810281972675247E-3</v>
      </c>
      <c r="J7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75" t="str" cm="1">
        <f t="array" ref="K7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5">
        <f>Engagment_Summary_Clean[[#This Row],[Engagement_Rate]]/Engagment_Summary_Clean[[#This Row],[Ad_Spend]]*100</f>
        <v>3.9921525686650245E-3</v>
      </c>
    </row>
    <row r="76" spans="1:12" x14ac:dyDescent="0.3">
      <c r="A76" s="11">
        <v>45572</v>
      </c>
      <c r="B76" t="s">
        <v>14</v>
      </c>
      <c r="C76">
        <v>437</v>
      </c>
      <c r="D76">
        <v>330</v>
      </c>
      <c r="E76">
        <v>476486</v>
      </c>
      <c r="F76">
        <v>4.97</v>
      </c>
      <c r="G76">
        <f>C76-Engagment_Summary_Clean[[#This Row],[Unfollows]]</f>
        <v>107</v>
      </c>
      <c r="H76">
        <v>4509</v>
      </c>
      <c r="I76" s="21">
        <v>2.2456063766826309E-4</v>
      </c>
      <c r="J7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76" t="str" cm="1">
        <f t="array" ref="K7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6">
        <f>Engagment_Summary_Clean[[#This Row],[Engagement_Rate]]/Engagment_Summary_Clean[[#This Row],[Ad_Spend]]*100</f>
        <v>0.11022399645154136</v>
      </c>
    </row>
    <row r="77" spans="1:12" x14ac:dyDescent="0.3">
      <c r="A77" s="11">
        <v>45572</v>
      </c>
      <c r="B77" t="s">
        <v>576</v>
      </c>
      <c r="C77">
        <v>307</v>
      </c>
      <c r="D77">
        <v>189</v>
      </c>
      <c r="E77">
        <v>117767</v>
      </c>
      <c r="F77">
        <v>9.3000000000000007</v>
      </c>
      <c r="G77">
        <f>C77-Engagment_Summary_Clean[[#This Row],[Unfollows]]</f>
        <v>118</v>
      </c>
      <c r="H77">
        <v>27822</v>
      </c>
      <c r="I77" s="21">
        <v>1.0019784829366461E-3</v>
      </c>
      <c r="J7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77" t="str" cm="1">
        <f t="array" ref="K7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7">
        <f>Engagment_Summary_Clean[[#This Row],[Engagement_Rate]]/Engagment_Summary_Clean[[#This Row],[Ad_Spend]]*100</f>
        <v>3.3426784558982105E-2</v>
      </c>
    </row>
    <row r="78" spans="1:12" x14ac:dyDescent="0.3">
      <c r="A78" s="11">
        <v>45579</v>
      </c>
      <c r="B78" t="s">
        <v>31</v>
      </c>
      <c r="C78">
        <v>1527</v>
      </c>
      <c r="D78">
        <v>303</v>
      </c>
      <c r="E78">
        <v>388555</v>
      </c>
      <c r="F78">
        <v>8.9</v>
      </c>
      <c r="G78">
        <f>C78-Engagment_Summary_Clean[[#This Row],[Unfollows]]</f>
        <v>1224</v>
      </c>
      <c r="H78">
        <v>36397</v>
      </c>
      <c r="I78" s="21">
        <v>3.1501331857780751E-3</v>
      </c>
      <c r="J7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78" t="str" cm="1">
        <f t="array" ref="K7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8">
        <f>Engagment_Summary_Clean[[#This Row],[Engagement_Rate]]/Engagment_Summary_Clean[[#This Row],[Ad_Spend]]*100</f>
        <v>2.4452564771821853E-2</v>
      </c>
    </row>
    <row r="79" spans="1:12" x14ac:dyDescent="0.3">
      <c r="A79" s="11">
        <v>45579</v>
      </c>
      <c r="B79" t="s">
        <v>40</v>
      </c>
      <c r="C79">
        <v>643</v>
      </c>
      <c r="D79">
        <v>358</v>
      </c>
      <c r="E79">
        <v>157599</v>
      </c>
      <c r="F79">
        <v>3.88</v>
      </c>
      <c r="G79">
        <f>C79-Engagment_Summary_Clean[[#This Row],[Unfollows]]</f>
        <v>285</v>
      </c>
      <c r="H79">
        <v>7285</v>
      </c>
      <c r="I79" s="21">
        <v>1.8083871090552605E-3</v>
      </c>
      <c r="J7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79" t="str" cm="1">
        <f t="array" ref="K7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79">
        <f>Engagment_Summary_Clean[[#This Row],[Engagement_Rate]]/Engagment_Summary_Clean[[#This Row],[Ad_Spend]]*100</f>
        <v>5.3260123541523673E-2</v>
      </c>
    </row>
    <row r="80" spans="1:12" x14ac:dyDescent="0.3">
      <c r="A80" s="11">
        <v>45579</v>
      </c>
      <c r="B80" t="s">
        <v>14</v>
      </c>
      <c r="C80">
        <v>201</v>
      </c>
      <c r="D80">
        <v>221</v>
      </c>
      <c r="E80">
        <v>309772</v>
      </c>
      <c r="F80">
        <v>5.9</v>
      </c>
      <c r="G80">
        <f>C80-Engagment_Summary_Clean[[#This Row],[Unfollows]]</f>
        <v>-20</v>
      </c>
      <c r="H80">
        <v>33174</v>
      </c>
      <c r="I80" s="21">
        <v>-6.456361452939582E-5</v>
      </c>
      <c r="J8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0" t="str" cm="1">
        <f t="array" ref="K8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0">
        <f>Engagment_Summary_Clean[[#This Row],[Engagement_Rate]]/Engagment_Summary_Clean[[#This Row],[Ad_Spend]]*100</f>
        <v>1.7785012359076386E-2</v>
      </c>
    </row>
    <row r="81" spans="1:12" x14ac:dyDescent="0.3">
      <c r="A81" s="11">
        <v>45579</v>
      </c>
      <c r="B81" t="s">
        <v>576</v>
      </c>
      <c r="C81">
        <v>414</v>
      </c>
      <c r="D81">
        <v>47</v>
      </c>
      <c r="E81">
        <v>199178</v>
      </c>
      <c r="F81">
        <v>1.53</v>
      </c>
      <c r="G81">
        <f>C81-Engagment_Summary_Clean[[#This Row],[Unfollows]]</f>
        <v>367</v>
      </c>
      <c r="H81">
        <v>6742</v>
      </c>
      <c r="I81" s="21">
        <v>1.8425729749269497E-3</v>
      </c>
      <c r="J8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1" t="str" cm="1">
        <f t="array" ref="K8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1">
        <f>Engagment_Summary_Clean[[#This Row],[Engagement_Rate]]/Engagment_Summary_Clean[[#This Row],[Ad_Spend]]*100</f>
        <v>2.26935627410264E-2</v>
      </c>
    </row>
    <row r="82" spans="1:12" x14ac:dyDescent="0.3">
      <c r="A82" s="11">
        <v>45586</v>
      </c>
      <c r="B82" t="s">
        <v>31</v>
      </c>
      <c r="C82">
        <v>703</v>
      </c>
      <c r="D82">
        <v>441</v>
      </c>
      <c r="E82">
        <v>357089</v>
      </c>
      <c r="F82">
        <v>6.5</v>
      </c>
      <c r="G82">
        <f>C82-Engagment_Summary_Clean[[#This Row],[Unfollows]]</f>
        <v>262</v>
      </c>
      <c r="H82">
        <v>32478</v>
      </c>
      <c r="I82" s="21">
        <v>7.3371064356504961E-4</v>
      </c>
      <c r="J8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2" t="str" cm="1">
        <f t="array" ref="K8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2">
        <f>Engagment_Summary_Clean[[#This Row],[Engagement_Rate]]/Engagment_Summary_Clean[[#This Row],[Ad_Spend]]*100</f>
        <v>2.0013547632243365E-2</v>
      </c>
    </row>
    <row r="83" spans="1:12" x14ac:dyDescent="0.3">
      <c r="A83" s="11">
        <v>45586</v>
      </c>
      <c r="B83" t="s">
        <v>40</v>
      </c>
      <c r="C83">
        <v>508</v>
      </c>
      <c r="D83">
        <v>69</v>
      </c>
      <c r="E83">
        <v>23492</v>
      </c>
      <c r="F83">
        <v>3.16</v>
      </c>
      <c r="G83">
        <f>C83-Engagment_Summary_Clean[[#This Row],[Unfollows]]</f>
        <v>439</v>
      </c>
      <c r="H83">
        <v>42824</v>
      </c>
      <c r="I83" s="21">
        <v>1.8687212668142345E-2</v>
      </c>
      <c r="J8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3" t="str" cm="1">
        <f t="array" ref="K8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3">
        <f>Engagment_Summary_Clean[[#This Row],[Engagement_Rate]]/Engagment_Summary_Clean[[#This Row],[Ad_Spend]]*100</f>
        <v>7.3790397907715303E-3</v>
      </c>
    </row>
    <row r="84" spans="1:12" x14ac:dyDescent="0.3">
      <c r="A84" s="11">
        <v>45586</v>
      </c>
      <c r="B84" t="s">
        <v>14</v>
      </c>
      <c r="C84">
        <v>697</v>
      </c>
      <c r="D84">
        <v>61</v>
      </c>
      <c r="E84">
        <v>258287</v>
      </c>
      <c r="F84">
        <v>8.25</v>
      </c>
      <c r="G84">
        <f>C84-Engagment_Summary_Clean[[#This Row],[Unfollows]]</f>
        <v>636</v>
      </c>
      <c r="H84">
        <v>21208</v>
      </c>
      <c r="I84" s="21">
        <v>2.4623771231227277E-3</v>
      </c>
      <c r="J8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4" t="str" cm="1">
        <f t="array" ref="K8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4">
        <f>Engagment_Summary_Clean[[#This Row],[Engagement_Rate]]/Engagment_Summary_Clean[[#This Row],[Ad_Spend]]*100</f>
        <v>3.8900414937759337E-2</v>
      </c>
    </row>
    <row r="85" spans="1:12" x14ac:dyDescent="0.3">
      <c r="A85" s="11">
        <v>45586</v>
      </c>
      <c r="B85" t="s">
        <v>576</v>
      </c>
      <c r="C85">
        <v>1707</v>
      </c>
      <c r="D85">
        <v>223</v>
      </c>
      <c r="E85">
        <v>256910</v>
      </c>
      <c r="F85">
        <v>5.41</v>
      </c>
      <c r="G85">
        <f>C85-Engagment_Summary_Clean[[#This Row],[Unfollows]]</f>
        <v>1484</v>
      </c>
      <c r="H85">
        <v>44321</v>
      </c>
      <c r="I85" s="21">
        <v>5.7763419096181542E-3</v>
      </c>
      <c r="J8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5" t="str" cm="1">
        <f t="array" ref="K8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5">
        <f>Engagment_Summary_Clean[[#This Row],[Engagement_Rate]]/Engagment_Summary_Clean[[#This Row],[Ad_Spend]]*100</f>
        <v>1.2206403285124434E-2</v>
      </c>
    </row>
    <row r="86" spans="1:12" x14ac:dyDescent="0.3">
      <c r="A86" s="11">
        <v>45593</v>
      </c>
      <c r="B86" t="s">
        <v>31</v>
      </c>
      <c r="C86">
        <v>642</v>
      </c>
      <c r="D86">
        <v>66</v>
      </c>
      <c r="E86">
        <v>346522</v>
      </c>
      <c r="F86">
        <v>5.85</v>
      </c>
      <c r="G86">
        <f>C86-Engagment_Summary_Clean[[#This Row],[Unfollows]]</f>
        <v>576</v>
      </c>
      <c r="H86">
        <v>13116</v>
      </c>
      <c r="I86" s="21">
        <v>1.6622321237901201E-3</v>
      </c>
      <c r="J8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6" t="str" cm="1">
        <f t="array" ref="K8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6">
        <f>Engagment_Summary_Clean[[#This Row],[Engagement_Rate]]/Engagment_Summary_Clean[[#This Row],[Ad_Spend]]*100</f>
        <v>4.4602012808783162E-2</v>
      </c>
    </row>
    <row r="87" spans="1:12" x14ac:dyDescent="0.3">
      <c r="A87" s="11">
        <v>45593</v>
      </c>
      <c r="B87" t="s">
        <v>40</v>
      </c>
      <c r="C87">
        <v>859</v>
      </c>
      <c r="D87">
        <v>473</v>
      </c>
      <c r="E87">
        <v>209987</v>
      </c>
      <c r="F87">
        <v>4.46</v>
      </c>
      <c r="G87">
        <f>C87-Engagment_Summary_Clean[[#This Row],[Unfollows]]</f>
        <v>386</v>
      </c>
      <c r="H87">
        <v>30214</v>
      </c>
      <c r="I87" s="21">
        <v>1.8382090319876945E-3</v>
      </c>
      <c r="J8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7" t="str" cm="1">
        <f t="array" ref="K8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7">
        <f>Engagment_Summary_Clean[[#This Row],[Engagement_Rate]]/Engagment_Summary_Clean[[#This Row],[Ad_Spend]]*100</f>
        <v>1.4761368901833587E-2</v>
      </c>
    </row>
    <row r="88" spans="1:12" x14ac:dyDescent="0.3">
      <c r="A88" s="11">
        <v>45593</v>
      </c>
      <c r="B88" t="s">
        <v>14</v>
      </c>
      <c r="C88">
        <v>191</v>
      </c>
      <c r="D88">
        <v>154</v>
      </c>
      <c r="E88">
        <v>240550</v>
      </c>
      <c r="F88">
        <v>5.22</v>
      </c>
      <c r="G88">
        <f>C88-Engagment_Summary_Clean[[#This Row],[Unfollows]]</f>
        <v>37</v>
      </c>
      <c r="H88">
        <v>15827</v>
      </c>
      <c r="I88" s="21">
        <v>1.5381417584701726E-4</v>
      </c>
      <c r="J8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8" t="str" cm="1">
        <f t="array" ref="K8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8">
        <f>Engagment_Summary_Clean[[#This Row],[Engagement_Rate]]/Engagment_Summary_Clean[[#This Row],[Ad_Spend]]*100</f>
        <v>3.2981613698110826E-2</v>
      </c>
    </row>
    <row r="89" spans="1:12" x14ac:dyDescent="0.3">
      <c r="A89" s="11">
        <v>45593</v>
      </c>
      <c r="B89" t="s">
        <v>576</v>
      </c>
      <c r="C89">
        <v>1814</v>
      </c>
      <c r="D89">
        <v>157</v>
      </c>
      <c r="E89">
        <v>305827</v>
      </c>
      <c r="F89">
        <v>1.99</v>
      </c>
      <c r="G89">
        <f>C89-Engagment_Summary_Clean[[#This Row],[Unfollows]]</f>
        <v>1657</v>
      </c>
      <c r="H89">
        <v>46643</v>
      </c>
      <c r="I89" s="21">
        <v>5.4180958515762179E-3</v>
      </c>
      <c r="J8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89" t="str" cm="1">
        <f t="array" ref="K8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89">
        <f>Engagment_Summary_Clean[[#This Row],[Engagement_Rate]]/Engagment_Summary_Clean[[#This Row],[Ad_Spend]]*100</f>
        <v>4.2664494136311982E-3</v>
      </c>
    </row>
    <row r="90" spans="1:12" x14ac:dyDescent="0.3">
      <c r="A90" s="11">
        <v>45600</v>
      </c>
      <c r="B90" t="s">
        <v>31</v>
      </c>
      <c r="C90">
        <v>1466</v>
      </c>
      <c r="D90">
        <v>69</v>
      </c>
      <c r="E90">
        <v>54935</v>
      </c>
      <c r="F90">
        <v>6.85</v>
      </c>
      <c r="G90">
        <f>C90-Engagment_Summary_Clean[[#This Row],[Unfollows]]</f>
        <v>1397</v>
      </c>
      <c r="H90">
        <v>36484</v>
      </c>
      <c r="I90" s="21">
        <v>2.5430053699827069E-2</v>
      </c>
      <c r="J9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90" t="str" cm="1">
        <f t="array" ref="K9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90">
        <f>Engagment_Summary_Clean[[#This Row],[Engagement_Rate]]/Engagment_Summary_Clean[[#This Row],[Ad_Spend]]*100</f>
        <v>1.8775353579651353E-2</v>
      </c>
    </row>
    <row r="91" spans="1:12" x14ac:dyDescent="0.3">
      <c r="A91" s="11">
        <v>45600</v>
      </c>
      <c r="B91" t="s">
        <v>40</v>
      </c>
      <c r="C91">
        <v>947</v>
      </c>
      <c r="D91">
        <v>407</v>
      </c>
      <c r="E91">
        <v>319186</v>
      </c>
      <c r="F91">
        <v>3.32</v>
      </c>
      <c r="G91">
        <f>C91-Engagment_Summary_Clean[[#This Row],[Unfollows]]</f>
        <v>540</v>
      </c>
      <c r="H91">
        <v>4996</v>
      </c>
      <c r="I91" s="21">
        <v>1.6918035252172713E-3</v>
      </c>
      <c r="J9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91" t="str" cm="1">
        <f t="array" ref="K9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91">
        <f>Engagment_Summary_Clean[[#This Row],[Engagement_Rate]]/Engagment_Summary_Clean[[#This Row],[Ad_Spend]]*100</f>
        <v>6.6453162530024021E-2</v>
      </c>
    </row>
    <row r="92" spans="1:12" x14ac:dyDescent="0.3">
      <c r="A92" s="11">
        <v>45600</v>
      </c>
      <c r="B92" t="s">
        <v>14</v>
      </c>
      <c r="C92">
        <v>1821</v>
      </c>
      <c r="D92">
        <v>218</v>
      </c>
      <c r="E92">
        <v>439080</v>
      </c>
      <c r="F92">
        <v>5.68</v>
      </c>
      <c r="G92">
        <f>C92-Engagment_Summary_Clean[[#This Row],[Unfollows]]</f>
        <v>1603</v>
      </c>
      <c r="H92">
        <v>36095</v>
      </c>
      <c r="I92" s="21">
        <v>3.6508153411678964E-3</v>
      </c>
      <c r="J9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92" t="str" cm="1">
        <f t="array" ref="K9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92">
        <f>Engagment_Summary_Clean[[#This Row],[Engagement_Rate]]/Engagment_Summary_Clean[[#This Row],[Ad_Spend]]*100</f>
        <v>1.5736251558387589E-2</v>
      </c>
    </row>
    <row r="93" spans="1:12" x14ac:dyDescent="0.3">
      <c r="A93" s="11">
        <v>45600</v>
      </c>
      <c r="B93" t="s">
        <v>576</v>
      </c>
      <c r="C93">
        <v>1507</v>
      </c>
      <c r="D93">
        <v>463</v>
      </c>
      <c r="E93">
        <v>258944</v>
      </c>
      <c r="F93">
        <v>6.08</v>
      </c>
      <c r="G93">
        <f>C93-Engagment_Summary_Clean[[#This Row],[Unfollows]]</f>
        <v>1044</v>
      </c>
      <c r="H93">
        <v>16443</v>
      </c>
      <c r="I93" s="21">
        <v>4.0317597627286209E-3</v>
      </c>
      <c r="J9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93" t="str" cm="1">
        <f t="array" ref="K9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MyntraFestiveEdit</v>
      </c>
      <c r="L93">
        <f>Engagment_Summary_Clean[[#This Row],[Engagement_Rate]]/Engagment_Summary_Clean[[#This Row],[Ad_Spend]]*100</f>
        <v>3.6976220884266865E-2</v>
      </c>
    </row>
    <row r="94" spans="1:12" x14ac:dyDescent="0.3">
      <c r="A94" s="11">
        <v>45607</v>
      </c>
      <c r="B94" t="s">
        <v>31</v>
      </c>
      <c r="C94">
        <v>1075</v>
      </c>
      <c r="D94">
        <v>173</v>
      </c>
      <c r="E94">
        <v>51395</v>
      </c>
      <c r="F94">
        <v>4.66</v>
      </c>
      <c r="G94">
        <f>C94-Engagment_Summary_Clean[[#This Row],[Unfollows]]</f>
        <v>902</v>
      </c>
      <c r="H94">
        <v>47812</v>
      </c>
      <c r="I94" s="21">
        <v>1.7550345364335054E-2</v>
      </c>
      <c r="J9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94" t="str" cm="1">
        <f t="array" ref="K9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94">
        <f>Engagment_Summary_Clean[[#This Row],[Engagement_Rate]]/Engagment_Summary_Clean[[#This Row],[Ad_Spend]]*100</f>
        <v>9.7465071530159798E-3</v>
      </c>
    </row>
    <row r="95" spans="1:12" x14ac:dyDescent="0.3">
      <c r="A95" s="11">
        <v>45607</v>
      </c>
      <c r="B95" t="s">
        <v>40</v>
      </c>
      <c r="C95">
        <v>171</v>
      </c>
      <c r="D95">
        <v>277</v>
      </c>
      <c r="E95">
        <v>309483</v>
      </c>
      <c r="F95">
        <v>8.6999999999999993</v>
      </c>
      <c r="G95">
        <f>C95-Engagment_Summary_Clean[[#This Row],[Unfollows]]</f>
        <v>-106</v>
      </c>
      <c r="H95">
        <v>38452</v>
      </c>
      <c r="I95" s="21">
        <v>-3.4250669665215861E-4</v>
      </c>
      <c r="J9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95" t="str" cm="1">
        <f t="array" ref="K9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95">
        <f>Engagment_Summary_Clean[[#This Row],[Engagement_Rate]]/Engagment_Summary_Clean[[#This Row],[Ad_Spend]]*100</f>
        <v>2.2625611151565583E-2</v>
      </c>
    </row>
    <row r="96" spans="1:12" x14ac:dyDescent="0.3">
      <c r="A96" s="11">
        <v>45607</v>
      </c>
      <c r="B96" t="s">
        <v>14</v>
      </c>
      <c r="C96">
        <v>1487</v>
      </c>
      <c r="D96">
        <v>337</v>
      </c>
      <c r="E96">
        <v>87305</v>
      </c>
      <c r="F96">
        <v>2.46</v>
      </c>
      <c r="G96">
        <f>C96-Engagment_Summary_Clean[[#This Row],[Unfollows]]</f>
        <v>1150</v>
      </c>
      <c r="H96">
        <v>30428</v>
      </c>
      <c r="I96" s="21">
        <v>1.3172212358971423E-2</v>
      </c>
      <c r="J9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96" t="str" cm="1">
        <f t="array" ref="K9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96">
        <f>Engagment_Summary_Clean[[#This Row],[Engagement_Rate]]/Engagment_Summary_Clean[[#This Row],[Ad_Spend]]*100</f>
        <v>8.0846588668331797E-3</v>
      </c>
    </row>
    <row r="97" spans="1:12" x14ac:dyDescent="0.3">
      <c r="A97" s="11">
        <v>45607</v>
      </c>
      <c r="B97" t="s">
        <v>576</v>
      </c>
      <c r="C97">
        <v>454</v>
      </c>
      <c r="D97">
        <v>105</v>
      </c>
      <c r="E97">
        <v>121091</v>
      </c>
      <c r="F97">
        <v>7.97</v>
      </c>
      <c r="G97">
        <f>C97-Engagment_Summary_Clean[[#This Row],[Unfollows]]</f>
        <v>349</v>
      </c>
      <c r="H97">
        <v>9269</v>
      </c>
      <c r="I97" s="21">
        <v>2.8821299683708945E-3</v>
      </c>
      <c r="J9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97" t="str" cm="1">
        <f t="array" ref="K9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97">
        <f>Engagment_Summary_Clean[[#This Row],[Engagement_Rate]]/Engagment_Summary_Clean[[#This Row],[Ad_Spend]]*100</f>
        <v>8.598554320854461E-2</v>
      </c>
    </row>
    <row r="98" spans="1:12" x14ac:dyDescent="0.3">
      <c r="A98" s="11">
        <v>45614</v>
      </c>
      <c r="B98" t="s">
        <v>31</v>
      </c>
      <c r="C98">
        <v>187</v>
      </c>
      <c r="D98">
        <v>236</v>
      </c>
      <c r="E98">
        <v>51087</v>
      </c>
      <c r="F98">
        <v>9.41</v>
      </c>
      <c r="G98">
        <f>C98-Engagment_Summary_Clean[[#This Row],[Unfollows]]</f>
        <v>-49</v>
      </c>
      <c r="H98">
        <v>29533</v>
      </c>
      <c r="I98" s="21">
        <v>-9.5914811987394058E-4</v>
      </c>
      <c r="J9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98" t="str" cm="1">
        <f t="array" ref="K9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98">
        <f>Engagment_Summary_Clean[[#This Row],[Engagement_Rate]]/Engagment_Summary_Clean[[#This Row],[Ad_Spend]]*100</f>
        <v>3.1862662106795787E-2</v>
      </c>
    </row>
    <row r="99" spans="1:12" x14ac:dyDescent="0.3">
      <c r="A99" s="11">
        <v>45614</v>
      </c>
      <c r="B99" t="s">
        <v>40</v>
      </c>
      <c r="C99">
        <v>513</v>
      </c>
      <c r="D99">
        <v>441</v>
      </c>
      <c r="E99">
        <v>338847</v>
      </c>
      <c r="F99">
        <v>2.68</v>
      </c>
      <c r="G99">
        <f>C99-Engagment_Summary_Clean[[#This Row],[Unfollows]]</f>
        <v>72</v>
      </c>
      <c r="H99">
        <v>39997</v>
      </c>
      <c r="I99" s="21">
        <v>2.1248528096751631E-4</v>
      </c>
      <c r="J9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99" t="str" cm="1">
        <f t="array" ref="K9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99">
        <f>Engagment_Summary_Clean[[#This Row],[Engagement_Rate]]/Engagment_Summary_Clean[[#This Row],[Ad_Spend]]*100</f>
        <v>6.7005025376903268E-3</v>
      </c>
    </row>
    <row r="100" spans="1:12" x14ac:dyDescent="0.3">
      <c r="A100" s="11">
        <v>45614</v>
      </c>
      <c r="B100" t="s">
        <v>14</v>
      </c>
      <c r="C100">
        <v>628</v>
      </c>
      <c r="D100">
        <v>183</v>
      </c>
      <c r="E100">
        <v>487523</v>
      </c>
      <c r="F100">
        <v>7.32</v>
      </c>
      <c r="G100">
        <f>C100-Engagment_Summary_Clean[[#This Row],[Unfollows]]</f>
        <v>445</v>
      </c>
      <c r="H100">
        <v>5391</v>
      </c>
      <c r="I100" s="21">
        <v>9.1277744844858602E-4</v>
      </c>
      <c r="J10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0" t="str" cm="1">
        <f t="array" ref="K10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0">
        <f>Engagment_Summary_Clean[[#This Row],[Engagement_Rate]]/Engagment_Summary_Clean[[#This Row],[Ad_Spend]]*100</f>
        <v>0.13578185865331108</v>
      </c>
    </row>
    <row r="101" spans="1:12" x14ac:dyDescent="0.3">
      <c r="A101" s="11">
        <v>45614</v>
      </c>
      <c r="B101" t="s">
        <v>576</v>
      </c>
      <c r="C101">
        <v>278</v>
      </c>
      <c r="D101">
        <v>218</v>
      </c>
      <c r="E101">
        <v>301695</v>
      </c>
      <c r="F101">
        <v>4.68</v>
      </c>
      <c r="G101">
        <f>C101-Engagment_Summary_Clean[[#This Row],[Unfollows]]</f>
        <v>60</v>
      </c>
      <c r="H101">
        <v>22373</v>
      </c>
      <c r="I101" s="21">
        <v>1.9887634863023914E-4</v>
      </c>
      <c r="J10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1" t="str" cm="1">
        <f t="array" ref="K10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1">
        <f>Engagment_Summary_Clean[[#This Row],[Engagement_Rate]]/Engagment_Summary_Clean[[#This Row],[Ad_Spend]]*100</f>
        <v>2.0918070889018012E-2</v>
      </c>
    </row>
    <row r="102" spans="1:12" x14ac:dyDescent="0.3">
      <c r="A102" s="11">
        <v>45621</v>
      </c>
      <c r="B102" t="s">
        <v>31</v>
      </c>
      <c r="C102">
        <v>1854</v>
      </c>
      <c r="D102">
        <v>161</v>
      </c>
      <c r="E102">
        <v>282466</v>
      </c>
      <c r="F102">
        <v>5.17</v>
      </c>
      <c r="G102">
        <f>C102-Engagment_Summary_Clean[[#This Row],[Unfollows]]</f>
        <v>1693</v>
      </c>
      <c r="H102">
        <v>1810</v>
      </c>
      <c r="I102" s="21">
        <v>5.9936417126309005E-3</v>
      </c>
      <c r="J10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2" t="str" cm="1">
        <f t="array" ref="K10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2">
        <f>Engagment_Summary_Clean[[#This Row],[Engagement_Rate]]/Engagment_Summary_Clean[[#This Row],[Ad_Spend]]*100</f>
        <v>0.28563535911602211</v>
      </c>
    </row>
    <row r="103" spans="1:12" x14ac:dyDescent="0.3">
      <c r="A103" s="11">
        <v>45621</v>
      </c>
      <c r="B103" t="s">
        <v>40</v>
      </c>
      <c r="C103">
        <v>1710</v>
      </c>
      <c r="D103">
        <v>378</v>
      </c>
      <c r="E103">
        <v>336661</v>
      </c>
      <c r="F103">
        <v>6.2</v>
      </c>
      <c r="G103">
        <f>C103-Engagment_Summary_Clean[[#This Row],[Unfollows]]</f>
        <v>1332</v>
      </c>
      <c r="H103">
        <v>28498</v>
      </c>
      <c r="I103" s="21">
        <v>3.9565022381564839E-3</v>
      </c>
      <c r="J10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3" t="str" cm="1">
        <f t="array" ref="K10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3">
        <f>Engagment_Summary_Clean[[#This Row],[Engagement_Rate]]/Engagment_Summary_Clean[[#This Row],[Ad_Spend]]*100</f>
        <v>2.1755912695627763E-2</v>
      </c>
    </row>
    <row r="104" spans="1:12" x14ac:dyDescent="0.3">
      <c r="A104" s="11">
        <v>45621</v>
      </c>
      <c r="B104" t="s">
        <v>14</v>
      </c>
      <c r="C104">
        <v>330</v>
      </c>
      <c r="D104">
        <v>232</v>
      </c>
      <c r="E104">
        <v>88455</v>
      </c>
      <c r="F104">
        <v>2.69</v>
      </c>
      <c r="G104">
        <f>C104-Engagment_Summary_Clean[[#This Row],[Unfollows]]</f>
        <v>98</v>
      </c>
      <c r="H104">
        <v>39530</v>
      </c>
      <c r="I104" s="21">
        <v>1.1079079758069075E-3</v>
      </c>
      <c r="J10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4" t="str" cm="1">
        <f t="array" ref="K10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4">
        <f>Engagment_Summary_Clean[[#This Row],[Engagement_Rate]]/Engagment_Summary_Clean[[#This Row],[Ad_Spend]]*100</f>
        <v>6.8049582595497088E-3</v>
      </c>
    </row>
    <row r="105" spans="1:12" x14ac:dyDescent="0.3">
      <c r="A105" s="11">
        <v>45621</v>
      </c>
      <c r="B105" t="s">
        <v>576</v>
      </c>
      <c r="C105">
        <v>1293</v>
      </c>
      <c r="D105">
        <v>408</v>
      </c>
      <c r="E105">
        <v>62535</v>
      </c>
      <c r="F105">
        <v>8.9</v>
      </c>
      <c r="G105">
        <f>C105-Engagment_Summary_Clean[[#This Row],[Unfollows]]</f>
        <v>885</v>
      </c>
      <c r="H105">
        <v>37876</v>
      </c>
      <c r="I105" s="21">
        <v>1.4152074838090669E-2</v>
      </c>
      <c r="J10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5" t="str" cm="1">
        <f t="array" ref="K10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5">
        <f>Engagment_Summary_Clean[[#This Row],[Engagement_Rate]]/Engagment_Summary_Clean[[#This Row],[Ad_Spend]]*100</f>
        <v>2.349772943288626E-2</v>
      </c>
    </row>
    <row r="106" spans="1:12" x14ac:dyDescent="0.3">
      <c r="A106" s="11">
        <v>45628</v>
      </c>
      <c r="B106" t="s">
        <v>31</v>
      </c>
      <c r="C106">
        <v>1696</v>
      </c>
      <c r="D106">
        <v>71</v>
      </c>
      <c r="E106">
        <v>421957</v>
      </c>
      <c r="F106">
        <v>3.79</v>
      </c>
      <c r="G106">
        <f>C106-Engagment_Summary_Clean[[#This Row],[Unfollows]]</f>
        <v>1625</v>
      </c>
      <c r="H106">
        <v>36103</v>
      </c>
      <c r="I106" s="21">
        <v>3.8511033114748661E-3</v>
      </c>
      <c r="J10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6" t="str" cm="1">
        <f t="array" ref="K10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6">
        <f>Engagment_Summary_Clean[[#This Row],[Engagement_Rate]]/Engagment_Summary_Clean[[#This Row],[Ad_Spend]]*100</f>
        <v>1.0497742569869541E-2</v>
      </c>
    </row>
    <row r="107" spans="1:12" x14ac:dyDescent="0.3">
      <c r="A107" s="11">
        <v>45628</v>
      </c>
      <c r="B107" t="s">
        <v>40</v>
      </c>
      <c r="C107">
        <v>1902</v>
      </c>
      <c r="D107">
        <v>196</v>
      </c>
      <c r="E107">
        <v>470269</v>
      </c>
      <c r="F107">
        <v>4.79</v>
      </c>
      <c r="G107">
        <f>C107-Engagment_Summary_Clean[[#This Row],[Unfollows]]</f>
        <v>1706</v>
      </c>
      <c r="H107">
        <v>26103</v>
      </c>
      <c r="I107" s="21">
        <v>3.6277109484146308E-3</v>
      </c>
      <c r="J10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7" t="str" cm="1">
        <f t="array" ref="K10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7">
        <f>Engagment_Summary_Clean[[#This Row],[Engagement_Rate]]/Engagment_Summary_Clean[[#This Row],[Ad_Spend]]*100</f>
        <v>1.8350381182239587E-2</v>
      </c>
    </row>
    <row r="108" spans="1:12" x14ac:dyDescent="0.3">
      <c r="A108" s="11">
        <v>45628</v>
      </c>
      <c r="B108" t="s">
        <v>14</v>
      </c>
      <c r="C108">
        <v>1441</v>
      </c>
      <c r="D108">
        <v>268</v>
      </c>
      <c r="E108">
        <v>309904</v>
      </c>
      <c r="F108">
        <v>6.37</v>
      </c>
      <c r="G108">
        <f>C108-Engagment_Summary_Clean[[#This Row],[Unfollows]]</f>
        <v>1173</v>
      </c>
      <c r="H108">
        <v>3455</v>
      </c>
      <c r="I108" s="21">
        <v>3.7850431101244257E-3</v>
      </c>
      <c r="J10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8" t="str" cm="1">
        <f t="array" ref="K10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8">
        <f>Engagment_Summary_Clean[[#This Row],[Engagement_Rate]]/Engagment_Summary_Clean[[#This Row],[Ad_Spend]]*100</f>
        <v>0.18437047756874095</v>
      </c>
    </row>
    <row r="109" spans="1:12" x14ac:dyDescent="0.3">
      <c r="A109" s="11">
        <v>45628</v>
      </c>
      <c r="B109" t="s">
        <v>576</v>
      </c>
      <c r="C109">
        <v>452</v>
      </c>
      <c r="D109">
        <v>161</v>
      </c>
      <c r="E109">
        <v>221274</v>
      </c>
      <c r="F109">
        <v>2.65</v>
      </c>
      <c r="G109">
        <f>C109-Engagment_Summary_Clean[[#This Row],[Unfollows]]</f>
        <v>291</v>
      </c>
      <c r="H109">
        <v>40888</v>
      </c>
      <c r="I109" s="21">
        <v>1.3151115811166245E-3</v>
      </c>
      <c r="J10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09" t="str" cm="1">
        <f t="array" ref="K10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09">
        <f>Engagment_Summary_Clean[[#This Row],[Engagement_Rate]]/Engagment_Summary_Clean[[#This Row],[Ad_Spend]]*100</f>
        <v>6.4811191547642349E-3</v>
      </c>
    </row>
    <row r="110" spans="1:12" x14ac:dyDescent="0.3">
      <c r="A110" s="11">
        <v>45635</v>
      </c>
      <c r="B110" t="s">
        <v>31</v>
      </c>
      <c r="C110">
        <v>1494</v>
      </c>
      <c r="D110">
        <v>375</v>
      </c>
      <c r="E110">
        <v>220616</v>
      </c>
      <c r="F110">
        <v>1.81</v>
      </c>
      <c r="G110">
        <f>C110-Engagment_Summary_Clean[[#This Row],[Unfollows]]</f>
        <v>1119</v>
      </c>
      <c r="H110">
        <v>22724</v>
      </c>
      <c r="I110" s="21">
        <v>5.0721615839286359E-3</v>
      </c>
      <c r="J11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10" t="str" cm="1">
        <f t="array" ref="K11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10">
        <f>Engagment_Summary_Clean[[#This Row],[Engagement_Rate]]/Engagment_Summary_Clean[[#This Row],[Ad_Spend]]*100</f>
        <v>7.9651469811652872E-3</v>
      </c>
    </row>
    <row r="111" spans="1:12" x14ac:dyDescent="0.3">
      <c r="A111" s="11">
        <v>45635</v>
      </c>
      <c r="B111" t="s">
        <v>40</v>
      </c>
      <c r="C111">
        <v>1514</v>
      </c>
      <c r="D111">
        <v>141</v>
      </c>
      <c r="E111">
        <v>35842</v>
      </c>
      <c r="F111">
        <v>7.47</v>
      </c>
      <c r="G111">
        <f>C111-Engagment_Summary_Clean[[#This Row],[Unfollows]]</f>
        <v>1373</v>
      </c>
      <c r="H111">
        <v>18601</v>
      </c>
      <c r="I111" s="21">
        <v>3.8307014117515761E-2</v>
      </c>
      <c r="J11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11" t="str" cm="1">
        <f t="array" ref="K11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11">
        <f>Engagment_Summary_Clean[[#This Row],[Engagement_Rate]]/Engagment_Summary_Clean[[#This Row],[Ad_Spend]]*100</f>
        <v>4.0159131229503792E-2</v>
      </c>
    </row>
    <row r="112" spans="1:12" x14ac:dyDescent="0.3">
      <c r="A112" s="11">
        <v>45635</v>
      </c>
      <c r="B112" t="s">
        <v>14</v>
      </c>
      <c r="C112">
        <v>1937</v>
      </c>
      <c r="D112">
        <v>210</v>
      </c>
      <c r="E112">
        <v>20607</v>
      </c>
      <c r="F112">
        <v>4.2</v>
      </c>
      <c r="G112">
        <f>C112-Engagment_Summary_Clean[[#This Row],[Unfollows]]</f>
        <v>1727</v>
      </c>
      <c r="H112">
        <v>20861</v>
      </c>
      <c r="I112" s="21">
        <v>8.3806473528412681E-2</v>
      </c>
      <c r="J11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12" t="str" cm="1">
        <f t="array" ref="K11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12">
        <f>Engagment_Summary_Clean[[#This Row],[Engagement_Rate]]/Engagment_Summary_Clean[[#This Row],[Ad_Spend]]*100</f>
        <v>2.0133263026700543E-2</v>
      </c>
    </row>
    <row r="113" spans="1:12" x14ac:dyDescent="0.3">
      <c r="A113" s="11">
        <v>45635</v>
      </c>
      <c r="B113" t="s">
        <v>576</v>
      </c>
      <c r="C113">
        <v>736</v>
      </c>
      <c r="D113">
        <v>163</v>
      </c>
      <c r="E113">
        <v>451894</v>
      </c>
      <c r="F113">
        <v>5.43</v>
      </c>
      <c r="G113">
        <f>C113-Engagment_Summary_Clean[[#This Row],[Unfollows]]</f>
        <v>573</v>
      </c>
      <c r="H113">
        <v>46625</v>
      </c>
      <c r="I113" s="21">
        <v>1.2679964770499277E-3</v>
      </c>
      <c r="J11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13" t="str" cm="1">
        <f t="array" ref="K11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13">
        <f>Engagment_Summary_Clean[[#This Row],[Engagement_Rate]]/Engagment_Summary_Clean[[#This Row],[Ad_Spend]]*100</f>
        <v>1.1646112600536192E-2</v>
      </c>
    </row>
    <row r="114" spans="1:12" x14ac:dyDescent="0.3">
      <c r="A114" s="11">
        <v>45642</v>
      </c>
      <c r="B114" t="s">
        <v>31</v>
      </c>
      <c r="C114">
        <v>1502</v>
      </c>
      <c r="D114">
        <v>70</v>
      </c>
      <c r="E114">
        <v>465553</v>
      </c>
      <c r="F114">
        <v>3.32</v>
      </c>
      <c r="G114">
        <f>C114-Engagment_Summary_Clean[[#This Row],[Unfollows]]</f>
        <v>1432</v>
      </c>
      <c r="H114">
        <v>20692</v>
      </c>
      <c r="I114" s="21">
        <v>3.0759118725472716E-3</v>
      </c>
      <c r="J11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14" t="str" cm="1">
        <f t="array" ref="K11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14">
        <f>Engagment_Summary_Clean[[#This Row],[Engagement_Rate]]/Engagment_Summary_Clean[[#This Row],[Ad_Spend]]*100</f>
        <v>1.6044848250531606E-2</v>
      </c>
    </row>
    <row r="115" spans="1:12" x14ac:dyDescent="0.3">
      <c r="A115" s="11">
        <v>45642</v>
      </c>
      <c r="B115" t="s">
        <v>40</v>
      </c>
      <c r="C115">
        <v>1623</v>
      </c>
      <c r="D115">
        <v>246</v>
      </c>
      <c r="E115">
        <v>415815</v>
      </c>
      <c r="F115">
        <v>8.11</v>
      </c>
      <c r="G115">
        <f>C115-Engagment_Summary_Clean[[#This Row],[Unfollows]]</f>
        <v>1377</v>
      </c>
      <c r="H115">
        <v>18656</v>
      </c>
      <c r="I115" s="21">
        <v>3.311568846722701E-3</v>
      </c>
      <c r="J11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15" t="str" cm="1">
        <f t="array" ref="K11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15">
        <f>Engagment_Summary_Clean[[#This Row],[Engagement_Rate]]/Engagment_Summary_Clean[[#This Row],[Ad_Spend]]*100</f>
        <v>4.3471269296740993E-2</v>
      </c>
    </row>
    <row r="116" spans="1:12" x14ac:dyDescent="0.3">
      <c r="A116" s="11">
        <v>45642</v>
      </c>
      <c r="B116" t="s">
        <v>14</v>
      </c>
      <c r="C116">
        <v>1592</v>
      </c>
      <c r="D116">
        <v>233</v>
      </c>
      <c r="E116">
        <v>327183</v>
      </c>
      <c r="F116">
        <v>6.66</v>
      </c>
      <c r="G116">
        <f>C116-Engagment_Summary_Clean[[#This Row],[Unfollows]]</f>
        <v>1359</v>
      </c>
      <c r="H116">
        <v>13316</v>
      </c>
      <c r="I116" s="21">
        <v>4.1536387893013997E-3</v>
      </c>
      <c r="J11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16" t="str" cm="1">
        <f t="array" ref="K11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16">
        <f>Engagment_Summary_Clean[[#This Row],[Engagement_Rate]]/Engagment_Summary_Clean[[#This Row],[Ad_Spend]]*100</f>
        <v>5.0015019525383002E-2</v>
      </c>
    </row>
    <row r="117" spans="1:12" x14ac:dyDescent="0.3">
      <c r="A117" s="11">
        <v>45642</v>
      </c>
      <c r="B117" t="s">
        <v>576</v>
      </c>
      <c r="C117">
        <v>1004</v>
      </c>
      <c r="D117">
        <v>128</v>
      </c>
      <c r="E117">
        <v>488901</v>
      </c>
      <c r="F117">
        <v>8.09</v>
      </c>
      <c r="G117">
        <f>C117-Engagment_Summary_Clean[[#This Row],[Unfollows]]</f>
        <v>876</v>
      </c>
      <c r="H117">
        <v>49558</v>
      </c>
      <c r="I117" s="21">
        <v>1.7917737946946315E-3</v>
      </c>
      <c r="J11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17" t="str" cm="1">
        <f t="array" ref="K11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17">
        <f>Engagment_Summary_Clean[[#This Row],[Engagement_Rate]]/Engagment_Summary_Clean[[#This Row],[Ad_Spend]]*100</f>
        <v>1.6324306872755153E-2</v>
      </c>
    </row>
    <row r="118" spans="1:12" x14ac:dyDescent="0.3">
      <c r="A118" s="11">
        <v>45649</v>
      </c>
      <c r="B118" t="s">
        <v>31</v>
      </c>
      <c r="C118">
        <v>1092</v>
      </c>
      <c r="D118">
        <v>408</v>
      </c>
      <c r="E118">
        <v>280795</v>
      </c>
      <c r="F118">
        <v>8.44</v>
      </c>
      <c r="G118">
        <f>C118-Engagment_Summary_Clean[[#This Row],[Unfollows]]</f>
        <v>684</v>
      </c>
      <c r="H118">
        <v>4683</v>
      </c>
      <c r="I118" s="21">
        <v>2.4359408109118751E-3</v>
      </c>
      <c r="J11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18" t="str" cm="1">
        <f t="array" ref="K11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18">
        <f>Engagment_Summary_Clean[[#This Row],[Engagement_Rate]]/Engagment_Summary_Clean[[#This Row],[Ad_Spend]]*100</f>
        <v>0.18022635062993805</v>
      </c>
    </row>
    <row r="119" spans="1:12" x14ac:dyDescent="0.3">
      <c r="A119" s="11">
        <v>45649</v>
      </c>
      <c r="B119" t="s">
        <v>40</v>
      </c>
      <c r="C119">
        <v>1155</v>
      </c>
      <c r="D119">
        <v>425</v>
      </c>
      <c r="E119">
        <v>93347</v>
      </c>
      <c r="F119">
        <v>2.02</v>
      </c>
      <c r="G119">
        <f>C119-Engagment_Summary_Clean[[#This Row],[Unfollows]]</f>
        <v>730</v>
      </c>
      <c r="H119">
        <v>47502</v>
      </c>
      <c r="I119" s="21">
        <v>7.8202834584935772E-3</v>
      </c>
      <c r="J11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19" t="str" cm="1">
        <f t="array" ref="K11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19">
        <f>Engagment_Summary_Clean[[#This Row],[Engagement_Rate]]/Engagment_Summary_Clean[[#This Row],[Ad_Spend]]*100</f>
        <v>4.2524525283145972E-3</v>
      </c>
    </row>
    <row r="120" spans="1:12" x14ac:dyDescent="0.3">
      <c r="A120" s="11">
        <v>45649</v>
      </c>
      <c r="B120" t="s">
        <v>14</v>
      </c>
      <c r="C120">
        <v>1137</v>
      </c>
      <c r="D120">
        <v>226</v>
      </c>
      <c r="E120">
        <v>81119</v>
      </c>
      <c r="F120">
        <v>7.74</v>
      </c>
      <c r="G120">
        <f>C120-Engagment_Summary_Clean[[#This Row],[Unfollows]]</f>
        <v>911</v>
      </c>
      <c r="H120">
        <v>35359</v>
      </c>
      <c r="I120" s="21">
        <v>1.1230414576116569E-2</v>
      </c>
      <c r="J12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0" t="str" cm="1">
        <f t="array" ref="K12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0">
        <f>Engagment_Summary_Clean[[#This Row],[Engagement_Rate]]/Engagment_Summary_Clean[[#This Row],[Ad_Spend]]*100</f>
        <v>2.1889759325772785E-2</v>
      </c>
    </row>
    <row r="121" spans="1:12" x14ac:dyDescent="0.3">
      <c r="A121" s="11">
        <v>45649</v>
      </c>
      <c r="B121" t="s">
        <v>576</v>
      </c>
      <c r="C121">
        <v>1900</v>
      </c>
      <c r="D121">
        <v>311</v>
      </c>
      <c r="E121">
        <v>25177</v>
      </c>
      <c r="F121">
        <v>2.89</v>
      </c>
      <c r="G121">
        <f>C121-Engagment_Summary_Clean[[#This Row],[Unfollows]]</f>
        <v>1589</v>
      </c>
      <c r="H121">
        <v>14154</v>
      </c>
      <c r="I121" s="21">
        <v>6.3113158835445049E-2</v>
      </c>
      <c r="J12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1" t="str" cm="1">
        <f t="array" ref="K12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1">
        <f>Engagment_Summary_Clean[[#This Row],[Engagement_Rate]]/Engagment_Summary_Clean[[#This Row],[Ad_Spend]]*100</f>
        <v>2.0418256323300833E-2</v>
      </c>
    </row>
    <row r="122" spans="1:12" x14ac:dyDescent="0.3">
      <c r="A122" s="11">
        <v>45656</v>
      </c>
      <c r="B122" t="s">
        <v>31</v>
      </c>
      <c r="C122">
        <v>1814</v>
      </c>
      <c r="D122">
        <v>49</v>
      </c>
      <c r="E122">
        <v>140804</v>
      </c>
      <c r="F122">
        <v>1.76</v>
      </c>
      <c r="G122">
        <f>C122-Engagment_Summary_Clean[[#This Row],[Unfollows]]</f>
        <v>1765</v>
      </c>
      <c r="H122">
        <v>4313</v>
      </c>
      <c r="I122" s="21">
        <v>1.253515525127127E-2</v>
      </c>
      <c r="J12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2" t="str" cm="1">
        <f t="array" ref="K12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2">
        <f>Engagment_Summary_Clean[[#This Row],[Engagement_Rate]]/Engagment_Summary_Clean[[#This Row],[Ad_Spend]]*100</f>
        <v>4.0806862972409E-2</v>
      </c>
    </row>
    <row r="123" spans="1:12" x14ac:dyDescent="0.3">
      <c r="A123" s="11">
        <v>45656</v>
      </c>
      <c r="B123" t="s">
        <v>40</v>
      </c>
      <c r="C123">
        <v>1980</v>
      </c>
      <c r="D123">
        <v>204</v>
      </c>
      <c r="E123">
        <v>379431</v>
      </c>
      <c r="F123">
        <v>3.09</v>
      </c>
      <c r="G123">
        <f>C123-Engagment_Summary_Clean[[#This Row],[Unfollows]]</f>
        <v>1776</v>
      </c>
      <c r="H123">
        <v>25140</v>
      </c>
      <c r="I123" s="21">
        <v>4.6806929323118035E-3</v>
      </c>
      <c r="J12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3" t="str" cm="1">
        <f t="array" ref="K12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3">
        <f>Engagment_Summary_Clean[[#This Row],[Engagement_Rate]]/Engagment_Summary_Clean[[#This Row],[Ad_Spend]]*100</f>
        <v>1.2291169451073985E-2</v>
      </c>
    </row>
    <row r="124" spans="1:12" x14ac:dyDescent="0.3">
      <c r="A124" s="11">
        <v>45656</v>
      </c>
      <c r="B124" t="s">
        <v>14</v>
      </c>
      <c r="C124">
        <v>1786</v>
      </c>
      <c r="D124">
        <v>257</v>
      </c>
      <c r="E124">
        <v>274831</v>
      </c>
      <c r="F124">
        <v>4.68</v>
      </c>
      <c r="G124">
        <f>C124-Engagment_Summary_Clean[[#This Row],[Unfollows]]</f>
        <v>1529</v>
      </c>
      <c r="H124">
        <v>9118</v>
      </c>
      <c r="I124" s="21">
        <v>5.5634189738421064E-3</v>
      </c>
      <c r="J12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4" t="str" cm="1">
        <f t="array" ref="K12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4">
        <f>Engagment_Summary_Clean[[#This Row],[Engagement_Rate]]/Engagment_Summary_Clean[[#This Row],[Ad_Spend]]*100</f>
        <v>5.1327045404694002E-2</v>
      </c>
    </row>
    <row r="125" spans="1:12" x14ac:dyDescent="0.3">
      <c r="A125" s="11">
        <v>45656</v>
      </c>
      <c r="B125" t="s">
        <v>576</v>
      </c>
      <c r="C125">
        <v>1495</v>
      </c>
      <c r="D125">
        <v>35</v>
      </c>
      <c r="E125">
        <v>136845</v>
      </c>
      <c r="F125">
        <v>4.4800000000000004</v>
      </c>
      <c r="G125">
        <f>C125-Engagment_Summary_Clean[[#This Row],[Unfollows]]</f>
        <v>1460</v>
      </c>
      <c r="H125">
        <v>39931</v>
      </c>
      <c r="I125" s="21">
        <v>1.0669005078738719E-2</v>
      </c>
      <c r="J12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5" t="str" cm="1">
        <f t="array" ref="K12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5">
        <f>Engagment_Summary_Clean[[#This Row],[Engagement_Rate]]/Engagment_Summary_Clean[[#This Row],[Ad_Spend]]*100</f>
        <v>1.1219353384588416E-2</v>
      </c>
    </row>
    <row r="126" spans="1:12" x14ac:dyDescent="0.3">
      <c r="A126" s="11">
        <v>45663</v>
      </c>
      <c r="B126" t="s">
        <v>31</v>
      </c>
      <c r="C126">
        <v>1013</v>
      </c>
      <c r="D126">
        <v>110</v>
      </c>
      <c r="E126">
        <v>466382</v>
      </c>
      <c r="F126">
        <v>5.3</v>
      </c>
      <c r="G126">
        <f>C126-Engagment_Summary_Clean[[#This Row],[Unfollows]]</f>
        <v>903</v>
      </c>
      <c r="H126">
        <v>37132</v>
      </c>
      <c r="I126" s="21">
        <v>1.9361810704529763E-3</v>
      </c>
      <c r="J12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6" t="str" cm="1">
        <f t="array" ref="K12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6">
        <f>Engagment_Summary_Clean[[#This Row],[Engagement_Rate]]/Engagment_Summary_Clean[[#This Row],[Ad_Spend]]*100</f>
        <v>1.4273402994721532E-2</v>
      </c>
    </row>
    <row r="127" spans="1:12" x14ac:dyDescent="0.3">
      <c r="A127" s="11">
        <v>45663</v>
      </c>
      <c r="B127" t="s">
        <v>40</v>
      </c>
      <c r="C127">
        <v>816</v>
      </c>
      <c r="D127">
        <v>196</v>
      </c>
      <c r="E127">
        <v>95728</v>
      </c>
      <c r="F127">
        <v>8.1999999999999993</v>
      </c>
      <c r="G127">
        <f>C127-Engagment_Summary_Clean[[#This Row],[Unfollows]]</f>
        <v>620</v>
      </c>
      <c r="H127">
        <v>17951</v>
      </c>
      <c r="I127" s="21">
        <v>6.4766839378238338E-3</v>
      </c>
      <c r="J12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7" t="str" cm="1">
        <f t="array" ref="K12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7">
        <f>Engagment_Summary_Clean[[#This Row],[Engagement_Rate]]/Engagment_Summary_Clean[[#This Row],[Ad_Spend]]*100</f>
        <v>4.5679906411899056E-2</v>
      </c>
    </row>
    <row r="128" spans="1:12" x14ac:dyDescent="0.3">
      <c r="A128" s="11">
        <v>45663</v>
      </c>
      <c r="B128" t="s">
        <v>14</v>
      </c>
      <c r="C128">
        <v>1633</v>
      </c>
      <c r="D128">
        <v>445</v>
      </c>
      <c r="E128">
        <v>371156</v>
      </c>
      <c r="F128">
        <v>2.2200000000000002</v>
      </c>
      <c r="G128">
        <f>C128-Engagment_Summary_Clean[[#This Row],[Unfollows]]</f>
        <v>1188</v>
      </c>
      <c r="H128">
        <v>2798</v>
      </c>
      <c r="I128" s="21">
        <v>3.2008104408927781E-3</v>
      </c>
      <c r="J12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8" t="str" cm="1">
        <f t="array" ref="K12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8">
        <f>Engagment_Summary_Clean[[#This Row],[Engagement_Rate]]/Engagment_Summary_Clean[[#This Row],[Ad_Spend]]*100</f>
        <v>7.9342387419585436E-2</v>
      </c>
    </row>
    <row r="129" spans="1:12" x14ac:dyDescent="0.3">
      <c r="A129" s="11">
        <v>45663</v>
      </c>
      <c r="B129" t="s">
        <v>576</v>
      </c>
      <c r="C129">
        <v>891</v>
      </c>
      <c r="D129">
        <v>45</v>
      </c>
      <c r="E129">
        <v>95410</v>
      </c>
      <c r="F129">
        <v>8.33</v>
      </c>
      <c r="G129">
        <f>C129-Engagment_Summary_Clean[[#This Row],[Unfollows]]</f>
        <v>846</v>
      </c>
      <c r="H129">
        <v>15045</v>
      </c>
      <c r="I129" s="21">
        <v>8.8669950738916262E-3</v>
      </c>
      <c r="J12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Before Campaign</v>
      </c>
      <c r="K129" t="str" cm="1">
        <f t="array" ref="K12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29">
        <f>Engagment_Summary_Clean[[#This Row],[Engagement_Rate]]/Engagment_Summary_Clean[[#This Row],[Ad_Spend]]*100</f>
        <v>5.5367231638418071E-2</v>
      </c>
    </row>
    <row r="130" spans="1:12" x14ac:dyDescent="0.3">
      <c r="A130" s="11">
        <v>45670</v>
      </c>
      <c r="B130" t="s">
        <v>31</v>
      </c>
      <c r="C130">
        <v>1855</v>
      </c>
      <c r="D130">
        <v>133</v>
      </c>
      <c r="E130">
        <v>349413</v>
      </c>
      <c r="F130">
        <v>3.3</v>
      </c>
      <c r="G130">
        <f>C130-Engagment_Summary_Clean[[#This Row],[Unfollows]]</f>
        <v>1722</v>
      </c>
      <c r="H130">
        <v>14548</v>
      </c>
      <c r="I130" s="21">
        <v>4.9282654051223049E-3</v>
      </c>
      <c r="J13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0" t="str" cm="1">
        <f t="array" ref="K13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0">
        <f>Engagment_Summary_Clean[[#This Row],[Engagement_Rate]]/Engagment_Summary_Clean[[#This Row],[Ad_Spend]]*100</f>
        <v>2.2683530382183115E-2</v>
      </c>
    </row>
    <row r="131" spans="1:12" x14ac:dyDescent="0.3">
      <c r="A131" s="11">
        <v>45670</v>
      </c>
      <c r="B131" t="s">
        <v>40</v>
      </c>
      <c r="C131">
        <v>651</v>
      </c>
      <c r="D131">
        <v>353</v>
      </c>
      <c r="E131">
        <v>224699</v>
      </c>
      <c r="F131">
        <v>5.61</v>
      </c>
      <c r="G131">
        <f>C131-Engagment_Summary_Clean[[#This Row],[Unfollows]]</f>
        <v>298</v>
      </c>
      <c r="H131">
        <v>45708</v>
      </c>
      <c r="I131" s="21">
        <v>1.3262186302564765E-3</v>
      </c>
      <c r="J13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1" t="str" cm="1">
        <f t="array" ref="K13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1">
        <f>Engagment_Summary_Clean[[#This Row],[Engagement_Rate]]/Engagment_Summary_Clean[[#This Row],[Ad_Spend]]*100</f>
        <v>1.2273562614859544E-2</v>
      </c>
    </row>
    <row r="132" spans="1:12" x14ac:dyDescent="0.3">
      <c r="A132" s="11">
        <v>45670</v>
      </c>
      <c r="B132" t="s">
        <v>14</v>
      </c>
      <c r="C132">
        <v>118</v>
      </c>
      <c r="D132">
        <v>262</v>
      </c>
      <c r="E132">
        <v>487896</v>
      </c>
      <c r="F132">
        <v>2.56</v>
      </c>
      <c r="G132">
        <f>C132-Engagment_Summary_Clean[[#This Row],[Unfollows]]</f>
        <v>-144</v>
      </c>
      <c r="H132">
        <v>12350</v>
      </c>
      <c r="I132" s="21">
        <v>-2.9514486693885583E-4</v>
      </c>
      <c r="J13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2" t="str" cm="1">
        <f t="array" ref="K13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2">
        <f>Engagment_Summary_Clean[[#This Row],[Engagement_Rate]]/Engagment_Summary_Clean[[#This Row],[Ad_Spend]]*100</f>
        <v>2.0728744939271255E-2</v>
      </c>
    </row>
    <row r="133" spans="1:12" x14ac:dyDescent="0.3">
      <c r="A133" s="11">
        <v>45670</v>
      </c>
      <c r="B133" t="s">
        <v>576</v>
      </c>
      <c r="C133">
        <v>1331</v>
      </c>
      <c r="D133">
        <v>430</v>
      </c>
      <c r="E133">
        <v>14437</v>
      </c>
      <c r="F133">
        <v>3.29</v>
      </c>
      <c r="G133">
        <f>C133-Engagment_Summary_Clean[[#This Row],[Unfollows]]</f>
        <v>901</v>
      </c>
      <c r="H133">
        <v>40868</v>
      </c>
      <c r="I133" s="21">
        <v>6.2409087760615087E-2</v>
      </c>
      <c r="J13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3" t="str" cm="1">
        <f t="array" ref="K13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3">
        <f>Engagment_Summary_Clean[[#This Row],[Engagement_Rate]]/Engagment_Summary_Clean[[#This Row],[Ad_Spend]]*100</f>
        <v>8.0503083096799457E-3</v>
      </c>
    </row>
    <row r="134" spans="1:12" x14ac:dyDescent="0.3">
      <c r="A134" s="11">
        <v>45677</v>
      </c>
      <c r="B134" t="s">
        <v>31</v>
      </c>
      <c r="C134">
        <v>1748</v>
      </c>
      <c r="D134">
        <v>176</v>
      </c>
      <c r="E134">
        <v>383681</v>
      </c>
      <c r="F134">
        <v>9.24</v>
      </c>
      <c r="G134">
        <f>C134-Engagment_Summary_Clean[[#This Row],[Unfollows]]</f>
        <v>1572</v>
      </c>
      <c r="H134">
        <v>43122</v>
      </c>
      <c r="I134" s="21">
        <v>4.0971536250166149E-3</v>
      </c>
      <c r="J13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4" t="str" cm="1">
        <f t="array" ref="K13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4">
        <f>Engagment_Summary_Clean[[#This Row],[Engagement_Rate]]/Engagment_Summary_Clean[[#This Row],[Ad_Spend]]*100</f>
        <v>2.1427577570613608E-2</v>
      </c>
    </row>
    <row r="135" spans="1:12" x14ac:dyDescent="0.3">
      <c r="A135" s="11">
        <v>45677</v>
      </c>
      <c r="B135" t="s">
        <v>40</v>
      </c>
      <c r="C135">
        <v>663</v>
      </c>
      <c r="D135">
        <v>236</v>
      </c>
      <c r="E135">
        <v>479490</v>
      </c>
      <c r="F135">
        <v>4.51</v>
      </c>
      <c r="G135">
        <f>C135-Engagment_Summary_Clean[[#This Row],[Unfollows]]</f>
        <v>427</v>
      </c>
      <c r="H135">
        <v>23853</v>
      </c>
      <c r="I135" s="21">
        <v>8.9052952094934197E-4</v>
      </c>
      <c r="J13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5" t="str" cm="1">
        <f t="array" ref="K13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5">
        <f>Engagment_Summary_Clean[[#This Row],[Engagement_Rate]]/Engagment_Summary_Clean[[#This Row],[Ad_Spend]]*100</f>
        <v>1.8907474950739949E-2</v>
      </c>
    </row>
    <row r="136" spans="1:12" x14ac:dyDescent="0.3">
      <c r="A136" s="11">
        <v>45677</v>
      </c>
      <c r="B136" t="s">
        <v>14</v>
      </c>
      <c r="C136">
        <v>1040</v>
      </c>
      <c r="D136">
        <v>149</v>
      </c>
      <c r="E136">
        <v>124404</v>
      </c>
      <c r="F136">
        <v>5.23</v>
      </c>
      <c r="G136">
        <f>C136-Engagment_Summary_Clean[[#This Row],[Unfollows]]</f>
        <v>891</v>
      </c>
      <c r="H136">
        <v>45380</v>
      </c>
      <c r="I136" s="21">
        <v>7.1621491270377159E-3</v>
      </c>
      <c r="J13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6" t="str" cm="1">
        <f t="array" ref="K13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6">
        <f>Engagment_Summary_Clean[[#This Row],[Engagement_Rate]]/Engagment_Summary_Clean[[#This Row],[Ad_Spend]]*100</f>
        <v>1.1524900837373293E-2</v>
      </c>
    </row>
    <row r="137" spans="1:12" x14ac:dyDescent="0.3">
      <c r="A137" s="11">
        <v>45677</v>
      </c>
      <c r="B137" t="s">
        <v>576</v>
      </c>
      <c r="C137">
        <v>1166</v>
      </c>
      <c r="D137">
        <v>442</v>
      </c>
      <c r="E137">
        <v>336949</v>
      </c>
      <c r="F137">
        <v>4.68</v>
      </c>
      <c r="G137">
        <f>C137-Engagment_Summary_Clean[[#This Row],[Unfollows]]</f>
        <v>724</v>
      </c>
      <c r="H137">
        <v>7705</v>
      </c>
      <c r="I137" s="21">
        <v>2.1486931256659019E-3</v>
      </c>
      <c r="J13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7" t="str" cm="1">
        <f t="array" ref="K13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7">
        <f>Engagment_Summary_Clean[[#This Row],[Engagement_Rate]]/Engagment_Summary_Clean[[#This Row],[Ad_Spend]]*100</f>
        <v>6.0739779364049312E-2</v>
      </c>
    </row>
    <row r="138" spans="1:12" x14ac:dyDescent="0.3">
      <c r="A138" s="11">
        <v>45684</v>
      </c>
      <c r="B138" t="s">
        <v>31</v>
      </c>
      <c r="C138">
        <v>115</v>
      </c>
      <c r="D138">
        <v>281</v>
      </c>
      <c r="E138">
        <v>357265</v>
      </c>
      <c r="F138">
        <v>9.23</v>
      </c>
      <c r="G138">
        <f>C138-Engagment_Summary_Clean[[#This Row],[Unfollows]]</f>
        <v>-166</v>
      </c>
      <c r="H138">
        <v>25525</v>
      </c>
      <c r="I138" s="21">
        <v>-4.6464109274628077E-4</v>
      </c>
      <c r="J13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8" t="str" cm="1">
        <f t="array" ref="K13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8">
        <f>Engagment_Summary_Clean[[#This Row],[Engagement_Rate]]/Engagment_Summary_Clean[[#This Row],[Ad_Spend]]*100</f>
        <v>3.6160626836434867E-2</v>
      </c>
    </row>
    <row r="139" spans="1:12" x14ac:dyDescent="0.3">
      <c r="A139" s="11">
        <v>45684</v>
      </c>
      <c r="B139" t="s">
        <v>40</v>
      </c>
      <c r="C139">
        <v>1249</v>
      </c>
      <c r="D139">
        <v>351</v>
      </c>
      <c r="E139">
        <v>321307</v>
      </c>
      <c r="F139">
        <v>6.37</v>
      </c>
      <c r="G139">
        <f>C139-Engagment_Summary_Clean[[#This Row],[Unfollows]]</f>
        <v>898</v>
      </c>
      <c r="H139">
        <v>20560</v>
      </c>
      <c r="I139" s="21">
        <v>2.7948348464241365E-3</v>
      </c>
      <c r="J13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39" t="str" cm="1">
        <f t="array" ref="K13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39">
        <f>Engagment_Summary_Clean[[#This Row],[Engagement_Rate]]/Engagment_Summary_Clean[[#This Row],[Ad_Spend]]*100</f>
        <v>3.0982490272373545E-2</v>
      </c>
    </row>
    <row r="140" spans="1:12" x14ac:dyDescent="0.3">
      <c r="A140" s="11">
        <v>45684</v>
      </c>
      <c r="B140" t="s">
        <v>14</v>
      </c>
      <c r="C140">
        <v>1501</v>
      </c>
      <c r="D140">
        <v>75</v>
      </c>
      <c r="E140">
        <v>262569</v>
      </c>
      <c r="F140">
        <v>2.0099999999999998</v>
      </c>
      <c r="G140">
        <f>C140-Engagment_Summary_Clean[[#This Row],[Unfollows]]</f>
        <v>1426</v>
      </c>
      <c r="H140">
        <v>19119</v>
      </c>
      <c r="I140" s="21">
        <v>5.4309533874905263E-3</v>
      </c>
      <c r="J14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0" t="str" cm="1">
        <f t="array" ref="K14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0">
        <f>Engagment_Summary_Clean[[#This Row],[Engagement_Rate]]/Engagment_Summary_Clean[[#This Row],[Ad_Spend]]*100</f>
        <v>1.0513102149694021E-2</v>
      </c>
    </row>
    <row r="141" spans="1:12" x14ac:dyDescent="0.3">
      <c r="A141" s="11">
        <v>45684</v>
      </c>
      <c r="B141" t="s">
        <v>576</v>
      </c>
      <c r="C141">
        <v>1411</v>
      </c>
      <c r="D141">
        <v>186</v>
      </c>
      <c r="E141">
        <v>461669</v>
      </c>
      <c r="F141">
        <v>3.72</v>
      </c>
      <c r="G141">
        <f>C141-Engagment_Summary_Clean[[#This Row],[Unfollows]]</f>
        <v>1225</v>
      </c>
      <c r="H141">
        <v>43999</v>
      </c>
      <c r="I141" s="21">
        <v>2.6534161921203288E-3</v>
      </c>
      <c r="J14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1" t="str" cm="1">
        <f t="array" ref="K14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1">
        <f>Engagment_Summary_Clean[[#This Row],[Engagement_Rate]]/Engagment_Summary_Clean[[#This Row],[Ad_Spend]]*100</f>
        <v>8.4547376076729019E-3</v>
      </c>
    </row>
    <row r="142" spans="1:12" x14ac:dyDescent="0.3">
      <c r="A142" s="11">
        <v>45691</v>
      </c>
      <c r="B142" t="s">
        <v>31</v>
      </c>
      <c r="C142">
        <v>1556</v>
      </c>
      <c r="D142">
        <v>476</v>
      </c>
      <c r="E142">
        <v>351556</v>
      </c>
      <c r="F142">
        <v>3.89</v>
      </c>
      <c r="G142">
        <f>C142-Engagment_Summary_Clean[[#This Row],[Unfollows]]</f>
        <v>1080</v>
      </c>
      <c r="H142">
        <v>10825</v>
      </c>
      <c r="I142" s="21">
        <v>3.0720567989168156E-3</v>
      </c>
      <c r="J14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2" t="str" cm="1">
        <f t="array" ref="K14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2">
        <f>Engagment_Summary_Clean[[#This Row],[Engagement_Rate]]/Engagment_Summary_Clean[[#This Row],[Ad_Spend]]*100</f>
        <v>3.5935334872979216E-2</v>
      </c>
    </row>
    <row r="143" spans="1:12" x14ac:dyDescent="0.3">
      <c r="A143" s="11">
        <v>45691</v>
      </c>
      <c r="B143" t="s">
        <v>40</v>
      </c>
      <c r="C143">
        <v>1159</v>
      </c>
      <c r="D143">
        <v>411</v>
      </c>
      <c r="E143">
        <v>135987</v>
      </c>
      <c r="F143">
        <v>8.6999999999999993</v>
      </c>
      <c r="G143">
        <f>C143-Engagment_Summary_Clean[[#This Row],[Unfollows]]</f>
        <v>748</v>
      </c>
      <c r="H143">
        <v>40323</v>
      </c>
      <c r="I143" s="21">
        <v>5.5005257855530306E-3</v>
      </c>
      <c r="J14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3" t="str" cm="1">
        <f t="array" ref="K14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3">
        <f>Engagment_Summary_Clean[[#This Row],[Engagement_Rate]]/Engagment_Summary_Clean[[#This Row],[Ad_Spend]]*100</f>
        <v>2.1575775611933634E-2</v>
      </c>
    </row>
    <row r="144" spans="1:12" x14ac:dyDescent="0.3">
      <c r="A144" s="11">
        <v>45691</v>
      </c>
      <c r="B144" t="s">
        <v>14</v>
      </c>
      <c r="C144">
        <v>927</v>
      </c>
      <c r="D144">
        <v>358</v>
      </c>
      <c r="E144">
        <v>177554</v>
      </c>
      <c r="F144">
        <v>6.95</v>
      </c>
      <c r="G144">
        <f>C144-Engagment_Summary_Clean[[#This Row],[Unfollows]]</f>
        <v>569</v>
      </c>
      <c r="H144">
        <v>48270</v>
      </c>
      <c r="I144" s="21">
        <v>3.2046588643454949E-3</v>
      </c>
      <c r="J14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4" t="str" cm="1">
        <f t="array" ref="K14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4">
        <f>Engagment_Summary_Clean[[#This Row],[Engagement_Rate]]/Engagment_Summary_Clean[[#This Row],[Ad_Spend]]*100</f>
        <v>1.4398176921483324E-2</v>
      </c>
    </row>
    <row r="145" spans="1:12" x14ac:dyDescent="0.3">
      <c r="A145" s="11">
        <v>45691</v>
      </c>
      <c r="B145" t="s">
        <v>576</v>
      </c>
      <c r="C145">
        <v>152</v>
      </c>
      <c r="D145">
        <v>355</v>
      </c>
      <c r="E145">
        <v>270766</v>
      </c>
      <c r="F145">
        <v>9.48</v>
      </c>
      <c r="G145">
        <f>C145-Engagment_Summary_Clean[[#This Row],[Unfollows]]</f>
        <v>-203</v>
      </c>
      <c r="H145">
        <v>18001</v>
      </c>
      <c r="I145" s="21">
        <v>-7.4972485467156139E-4</v>
      </c>
      <c r="J14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5" t="str" cm="1">
        <f t="array" ref="K14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5">
        <f>Engagment_Summary_Clean[[#This Row],[Engagement_Rate]]/Engagment_Summary_Clean[[#This Row],[Ad_Spend]]*100</f>
        <v>5.266374090328315E-2</v>
      </c>
    </row>
    <row r="146" spans="1:12" x14ac:dyDescent="0.3">
      <c r="A146" s="11">
        <v>45698</v>
      </c>
      <c r="B146" t="s">
        <v>31</v>
      </c>
      <c r="C146">
        <v>1957</v>
      </c>
      <c r="D146">
        <v>234</v>
      </c>
      <c r="E146">
        <v>222126</v>
      </c>
      <c r="F146">
        <v>4.6100000000000003</v>
      </c>
      <c r="G146">
        <f>C146-Engagment_Summary_Clean[[#This Row],[Unfollows]]</f>
        <v>1723</v>
      </c>
      <c r="H146">
        <v>3314</v>
      </c>
      <c r="I146" s="21">
        <v>7.7568587198256845E-3</v>
      </c>
      <c r="J14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6" t="str" cm="1">
        <f t="array" ref="K14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6">
        <f>Engagment_Summary_Clean[[#This Row],[Engagement_Rate]]/Engagment_Summary_Clean[[#This Row],[Ad_Spend]]*100</f>
        <v>0.13910681955340978</v>
      </c>
    </row>
    <row r="147" spans="1:12" x14ac:dyDescent="0.3">
      <c r="A147" s="11">
        <v>45698</v>
      </c>
      <c r="B147" t="s">
        <v>40</v>
      </c>
      <c r="C147">
        <v>1294</v>
      </c>
      <c r="D147">
        <v>382</v>
      </c>
      <c r="E147">
        <v>309914</v>
      </c>
      <c r="F147">
        <v>8.0299999999999994</v>
      </c>
      <c r="G147">
        <f>C147-Engagment_Summary_Clean[[#This Row],[Unfollows]]</f>
        <v>912</v>
      </c>
      <c r="H147">
        <v>23489</v>
      </c>
      <c r="I147" s="21">
        <v>2.9427518601934728E-3</v>
      </c>
      <c r="J14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7" t="str" cm="1">
        <f t="array" ref="K14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7">
        <f>Engagment_Summary_Clean[[#This Row],[Engagement_Rate]]/Engagment_Summary_Clean[[#This Row],[Ad_Spend]]*100</f>
        <v>3.418621482396015E-2</v>
      </c>
    </row>
    <row r="148" spans="1:12" x14ac:dyDescent="0.3">
      <c r="A148" s="11">
        <v>45698</v>
      </c>
      <c r="B148" t="s">
        <v>14</v>
      </c>
      <c r="C148">
        <v>1587</v>
      </c>
      <c r="D148">
        <v>385</v>
      </c>
      <c r="E148">
        <v>126582</v>
      </c>
      <c r="F148">
        <v>6.99</v>
      </c>
      <c r="G148">
        <f>C148-Engagment_Summary_Clean[[#This Row],[Unfollows]]</f>
        <v>1202</v>
      </c>
      <c r="H148">
        <v>42832</v>
      </c>
      <c r="I148" s="21">
        <v>9.4958208908059605E-3</v>
      </c>
      <c r="J14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8" t="str" cm="1">
        <f t="array" ref="K14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8">
        <f>Engagment_Summary_Clean[[#This Row],[Engagement_Rate]]/Engagment_Summary_Clean[[#This Row],[Ad_Spend]]*100</f>
        <v>1.6319574150168097E-2</v>
      </c>
    </row>
    <row r="149" spans="1:12" x14ac:dyDescent="0.3">
      <c r="A149" s="11">
        <v>45698</v>
      </c>
      <c r="B149" t="s">
        <v>576</v>
      </c>
      <c r="C149">
        <v>1707</v>
      </c>
      <c r="D149">
        <v>263</v>
      </c>
      <c r="E149">
        <v>485280</v>
      </c>
      <c r="F149">
        <v>9.0299999999999994</v>
      </c>
      <c r="G149">
        <f>C149-Engagment_Summary_Clean[[#This Row],[Unfollows]]</f>
        <v>1444</v>
      </c>
      <c r="H149">
        <v>24494</v>
      </c>
      <c r="I149" s="21">
        <v>2.9756017144741179E-3</v>
      </c>
      <c r="J14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During Campaign</v>
      </c>
      <c r="K149" t="str" cm="1">
        <f t="array" ref="K14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StyleRevolution</v>
      </c>
      <c r="L149">
        <f>Engagment_Summary_Clean[[#This Row],[Engagement_Rate]]/Engagment_Summary_Clean[[#This Row],[Ad_Spend]]*100</f>
        <v>3.6866171307258923E-2</v>
      </c>
    </row>
    <row r="150" spans="1:12" x14ac:dyDescent="0.3">
      <c r="A150" s="11">
        <v>45705</v>
      </c>
      <c r="B150" t="s">
        <v>31</v>
      </c>
      <c r="C150">
        <v>1138</v>
      </c>
      <c r="D150">
        <v>173</v>
      </c>
      <c r="E150">
        <v>453243</v>
      </c>
      <c r="F150">
        <v>2.86</v>
      </c>
      <c r="G150">
        <f>C150-Engagment_Summary_Clean[[#This Row],[Unfollows]]</f>
        <v>965</v>
      </c>
      <c r="H150">
        <v>44097</v>
      </c>
      <c r="I150" s="21">
        <v>2.1291007252180398E-3</v>
      </c>
      <c r="J15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0" t="str" cm="1">
        <f t="array" ref="K15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0">
        <f>Engagment_Summary_Clean[[#This Row],[Engagement_Rate]]/Engagment_Summary_Clean[[#This Row],[Ad_Spend]]*100</f>
        <v>6.4857019751910563E-3</v>
      </c>
    </row>
    <row r="151" spans="1:12" x14ac:dyDescent="0.3">
      <c r="A151" s="11">
        <v>45705</v>
      </c>
      <c r="B151" t="s">
        <v>40</v>
      </c>
      <c r="C151">
        <v>1895</v>
      </c>
      <c r="D151">
        <v>305</v>
      </c>
      <c r="E151">
        <v>104967</v>
      </c>
      <c r="F151">
        <v>3.85</v>
      </c>
      <c r="G151">
        <f>C151-Engagment_Summary_Clean[[#This Row],[Unfollows]]</f>
        <v>1590</v>
      </c>
      <c r="H151">
        <v>31853</v>
      </c>
      <c r="I151" s="21">
        <v>1.5147617822744291E-2</v>
      </c>
      <c r="J15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1" t="str" cm="1">
        <f t="array" ref="K15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1">
        <f>Engagment_Summary_Clean[[#This Row],[Engagement_Rate]]/Engagment_Summary_Clean[[#This Row],[Ad_Spend]]*100</f>
        <v>1.2086773616299878E-2</v>
      </c>
    </row>
    <row r="152" spans="1:12" x14ac:dyDescent="0.3">
      <c r="A152" s="11">
        <v>45705</v>
      </c>
      <c r="B152" t="s">
        <v>14</v>
      </c>
      <c r="C152">
        <v>362</v>
      </c>
      <c r="D152">
        <v>399</v>
      </c>
      <c r="E152">
        <v>145608</v>
      </c>
      <c r="F152">
        <v>7.3</v>
      </c>
      <c r="G152">
        <f>C152-Engagment_Summary_Clean[[#This Row],[Unfollows]]</f>
        <v>-37</v>
      </c>
      <c r="H152">
        <v>37636</v>
      </c>
      <c r="I152" s="21">
        <v>-2.5410691720235154E-4</v>
      </c>
      <c r="J15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2" t="str" cm="1">
        <f t="array" ref="K15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2">
        <f>Engagment_Summary_Clean[[#This Row],[Engagement_Rate]]/Engagment_Summary_Clean[[#This Row],[Ad_Spend]]*100</f>
        <v>1.9396322669784249E-2</v>
      </c>
    </row>
    <row r="153" spans="1:12" x14ac:dyDescent="0.3">
      <c r="A153" s="11">
        <v>45705</v>
      </c>
      <c r="B153" t="s">
        <v>576</v>
      </c>
      <c r="C153">
        <v>1662</v>
      </c>
      <c r="D153">
        <v>487</v>
      </c>
      <c r="E153">
        <v>105980</v>
      </c>
      <c r="F153">
        <v>9.08</v>
      </c>
      <c r="G153">
        <f>C153-Engagment_Summary_Clean[[#This Row],[Unfollows]]</f>
        <v>1175</v>
      </c>
      <c r="H153">
        <v>22996</v>
      </c>
      <c r="I153" s="21">
        <v>1.1086997546706926E-2</v>
      </c>
      <c r="J15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3" t="str" cm="1">
        <f t="array" ref="K15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3">
        <f>Engagment_Summary_Clean[[#This Row],[Engagement_Rate]]/Engagment_Summary_Clean[[#This Row],[Ad_Spend]]*100</f>
        <v>3.9485127848321443E-2</v>
      </c>
    </row>
    <row r="154" spans="1:12" x14ac:dyDescent="0.3">
      <c r="A154" s="11">
        <v>45712</v>
      </c>
      <c r="B154" t="s">
        <v>31</v>
      </c>
      <c r="C154">
        <v>1440</v>
      </c>
      <c r="D154">
        <v>65</v>
      </c>
      <c r="E154">
        <v>126524</v>
      </c>
      <c r="F154">
        <v>4.34</v>
      </c>
      <c r="G154">
        <f>C154-Engagment_Summary_Clean[[#This Row],[Unfollows]]</f>
        <v>1375</v>
      </c>
      <c r="H154">
        <v>49772</v>
      </c>
      <c r="I154" s="21">
        <v>1.0867503398564699E-2</v>
      </c>
      <c r="J15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4" t="str" cm="1">
        <f t="array" ref="K15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4">
        <f>Engagment_Summary_Clean[[#This Row],[Engagement_Rate]]/Engagment_Summary_Clean[[#This Row],[Ad_Spend]]*100</f>
        <v>8.7197621152455187E-3</v>
      </c>
    </row>
    <row r="155" spans="1:12" x14ac:dyDescent="0.3">
      <c r="A155" s="11">
        <v>45712</v>
      </c>
      <c r="B155" t="s">
        <v>40</v>
      </c>
      <c r="C155">
        <v>1884</v>
      </c>
      <c r="D155">
        <v>177</v>
      </c>
      <c r="E155">
        <v>230448</v>
      </c>
      <c r="F155">
        <v>7.8</v>
      </c>
      <c r="G155">
        <f>C155-Engagment_Summary_Clean[[#This Row],[Unfollows]]</f>
        <v>1707</v>
      </c>
      <c r="H155">
        <v>22713</v>
      </c>
      <c r="I155" s="21">
        <v>7.4073109768798169E-3</v>
      </c>
      <c r="J15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5" t="str" cm="1">
        <f t="array" ref="K15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5">
        <f>Engagment_Summary_Clean[[#This Row],[Engagement_Rate]]/Engagment_Summary_Clean[[#This Row],[Ad_Spend]]*100</f>
        <v>3.4341566503764361E-2</v>
      </c>
    </row>
    <row r="156" spans="1:12" x14ac:dyDescent="0.3">
      <c r="A156" s="11">
        <v>45712</v>
      </c>
      <c r="B156" t="s">
        <v>14</v>
      </c>
      <c r="C156">
        <v>861</v>
      </c>
      <c r="D156">
        <v>153</v>
      </c>
      <c r="E156">
        <v>317007</v>
      </c>
      <c r="F156">
        <v>3.85</v>
      </c>
      <c r="G156">
        <f>C156-Engagment_Summary_Clean[[#This Row],[Unfollows]]</f>
        <v>708</v>
      </c>
      <c r="H156">
        <v>8718</v>
      </c>
      <c r="I156" s="21">
        <v>2.2333891680625349E-3</v>
      </c>
      <c r="J15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6" t="str" cm="1">
        <f t="array" ref="K15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6">
        <f>Engagment_Summary_Clean[[#This Row],[Engagement_Rate]]/Engagment_Summary_Clean[[#This Row],[Ad_Spend]]*100</f>
        <v>4.4161504932323931E-2</v>
      </c>
    </row>
    <row r="157" spans="1:12" x14ac:dyDescent="0.3">
      <c r="A157" s="11">
        <v>45712</v>
      </c>
      <c r="B157" t="s">
        <v>576</v>
      </c>
      <c r="C157">
        <v>1063</v>
      </c>
      <c r="D157">
        <v>47</v>
      </c>
      <c r="E157">
        <v>464239</v>
      </c>
      <c r="F157">
        <v>6.58</v>
      </c>
      <c r="G157">
        <f>C157-Engagment_Summary_Clean[[#This Row],[Unfollows]]</f>
        <v>1016</v>
      </c>
      <c r="H157">
        <v>39031</v>
      </c>
      <c r="I157" s="21">
        <v>2.1885278918832756E-3</v>
      </c>
      <c r="J15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7" t="str" cm="1">
        <f t="array" ref="K15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7">
        <f>Engagment_Summary_Clean[[#This Row],[Engagement_Rate]]/Engagment_Summary_Clean[[#This Row],[Ad_Spend]]*100</f>
        <v>1.6858394609413033E-2</v>
      </c>
    </row>
    <row r="158" spans="1:12" x14ac:dyDescent="0.3">
      <c r="A158" s="11">
        <v>45719</v>
      </c>
      <c r="B158" t="s">
        <v>31</v>
      </c>
      <c r="C158">
        <v>1371</v>
      </c>
      <c r="D158">
        <v>56</v>
      </c>
      <c r="E158">
        <v>257579</v>
      </c>
      <c r="F158">
        <v>8.6199999999999992</v>
      </c>
      <c r="G158">
        <f>C158-Engagment_Summary_Clean[[#This Row],[Unfollows]]</f>
        <v>1315</v>
      </c>
      <c r="H158">
        <v>33799</v>
      </c>
      <c r="I158" s="21">
        <v>5.1052298518124532E-3</v>
      </c>
      <c r="J15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8" t="str" cm="1">
        <f t="array" ref="K15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8">
        <f>Engagment_Summary_Clean[[#This Row],[Engagement_Rate]]/Engagment_Summary_Clean[[#This Row],[Ad_Spend]]*100</f>
        <v>2.5503713127607325E-2</v>
      </c>
    </row>
    <row r="159" spans="1:12" x14ac:dyDescent="0.3">
      <c r="A159" s="11">
        <v>45719</v>
      </c>
      <c r="B159" t="s">
        <v>40</v>
      </c>
      <c r="C159">
        <v>345</v>
      </c>
      <c r="D159">
        <v>464</v>
      </c>
      <c r="E159">
        <v>366881</v>
      </c>
      <c r="F159">
        <v>4.55</v>
      </c>
      <c r="G159">
        <f>C159-Engagment_Summary_Clean[[#This Row],[Unfollows]]</f>
        <v>-119</v>
      </c>
      <c r="H159">
        <v>20553</v>
      </c>
      <c r="I159" s="21">
        <v>-3.2435585380545735E-4</v>
      </c>
      <c r="J15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59" t="str" cm="1">
        <f t="array" ref="K15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59">
        <f>Engagment_Summary_Clean[[#This Row],[Engagement_Rate]]/Engagment_Summary_Clean[[#This Row],[Ad_Spend]]*100</f>
        <v>2.2137887413029727E-2</v>
      </c>
    </row>
    <row r="160" spans="1:12" x14ac:dyDescent="0.3">
      <c r="A160" s="11">
        <v>45719</v>
      </c>
      <c r="B160" t="s">
        <v>14</v>
      </c>
      <c r="C160">
        <v>946</v>
      </c>
      <c r="D160">
        <v>47</v>
      </c>
      <c r="E160">
        <v>466575</v>
      </c>
      <c r="F160">
        <v>8.33</v>
      </c>
      <c r="G160">
        <f>C160-Engagment_Summary_Clean[[#This Row],[Unfollows]]</f>
        <v>899</v>
      </c>
      <c r="H160">
        <v>10002</v>
      </c>
      <c r="I160" s="21">
        <v>1.9268070513850934E-3</v>
      </c>
      <c r="J16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0" t="str" cm="1">
        <f t="array" ref="K16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0">
        <f>Engagment_Summary_Clean[[#This Row],[Engagement_Rate]]/Engagment_Summary_Clean[[#This Row],[Ad_Spend]]*100</f>
        <v>8.3283343331333734E-2</v>
      </c>
    </row>
    <row r="161" spans="1:12" x14ac:dyDescent="0.3">
      <c r="A161" s="11">
        <v>45719</v>
      </c>
      <c r="B161" t="s">
        <v>576</v>
      </c>
      <c r="C161">
        <v>510</v>
      </c>
      <c r="D161">
        <v>195</v>
      </c>
      <c r="E161">
        <v>224534</v>
      </c>
      <c r="F161">
        <v>9.4</v>
      </c>
      <c r="G161">
        <f>C161-Engagment_Summary_Clean[[#This Row],[Unfollows]]</f>
        <v>315</v>
      </c>
      <c r="H161">
        <v>30987</v>
      </c>
      <c r="I161" s="21">
        <v>1.4029055733207443E-3</v>
      </c>
      <c r="J16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1" t="str" cm="1">
        <f t="array" ref="K16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1">
        <f>Engagment_Summary_Clean[[#This Row],[Engagement_Rate]]/Engagment_Summary_Clean[[#This Row],[Ad_Spend]]*100</f>
        <v>3.0335301900797113E-2</v>
      </c>
    </row>
    <row r="162" spans="1:12" x14ac:dyDescent="0.3">
      <c r="A162" s="11">
        <v>45726</v>
      </c>
      <c r="B162" t="s">
        <v>31</v>
      </c>
      <c r="C162">
        <v>393</v>
      </c>
      <c r="D162">
        <v>181</v>
      </c>
      <c r="E162">
        <v>462142</v>
      </c>
      <c r="F162">
        <v>7.23</v>
      </c>
      <c r="G162">
        <f>C162-Engagment_Summary_Clean[[#This Row],[Unfollows]]</f>
        <v>212</v>
      </c>
      <c r="H162">
        <v>6296</v>
      </c>
      <c r="I162" s="21">
        <v>4.5873346287504706E-4</v>
      </c>
      <c r="J16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2" t="str" cm="1">
        <f t="array" ref="K16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2">
        <f>Engagment_Summary_Clean[[#This Row],[Engagement_Rate]]/Engagment_Summary_Clean[[#This Row],[Ad_Spend]]*100</f>
        <v>0.11483481575603557</v>
      </c>
    </row>
    <row r="163" spans="1:12" x14ac:dyDescent="0.3">
      <c r="A163" s="11">
        <v>45726</v>
      </c>
      <c r="B163" t="s">
        <v>40</v>
      </c>
      <c r="C163">
        <v>1098</v>
      </c>
      <c r="D163">
        <v>190</v>
      </c>
      <c r="E163">
        <v>340842</v>
      </c>
      <c r="F163">
        <v>9.39</v>
      </c>
      <c r="G163">
        <f>C163-Engagment_Summary_Clean[[#This Row],[Unfollows]]</f>
        <v>908</v>
      </c>
      <c r="H163">
        <v>21539</v>
      </c>
      <c r="I163" s="21">
        <v>2.6639909400836752E-3</v>
      </c>
      <c r="J16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3" t="str" cm="1">
        <f t="array" ref="K16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3">
        <f>Engagment_Summary_Clean[[#This Row],[Engagement_Rate]]/Engagment_Summary_Clean[[#This Row],[Ad_Spend]]*100</f>
        <v>4.3595338687961373E-2</v>
      </c>
    </row>
    <row r="164" spans="1:12" x14ac:dyDescent="0.3">
      <c r="A164" s="11">
        <v>45726</v>
      </c>
      <c r="B164" t="s">
        <v>14</v>
      </c>
      <c r="C164">
        <v>1399</v>
      </c>
      <c r="D164">
        <v>49</v>
      </c>
      <c r="E164">
        <v>12471</v>
      </c>
      <c r="F164">
        <v>5.12</v>
      </c>
      <c r="G164">
        <f>C164-Engagment_Summary_Clean[[#This Row],[Unfollows]]</f>
        <v>1350</v>
      </c>
      <c r="H164">
        <v>14722</v>
      </c>
      <c r="I164" s="21">
        <v>0.10825114265095021</v>
      </c>
      <c r="J16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4" t="str" cm="1">
        <f t="array" ref="K16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4">
        <f>Engagment_Summary_Clean[[#This Row],[Engagement_Rate]]/Engagment_Summary_Clean[[#This Row],[Ad_Spend]]*100</f>
        <v>3.4777883439750037E-2</v>
      </c>
    </row>
    <row r="165" spans="1:12" x14ac:dyDescent="0.3">
      <c r="A165" s="11">
        <v>45726</v>
      </c>
      <c r="B165" t="s">
        <v>576</v>
      </c>
      <c r="C165">
        <v>1658</v>
      </c>
      <c r="D165">
        <v>416</v>
      </c>
      <c r="E165">
        <v>98397</v>
      </c>
      <c r="F165">
        <v>6.11</v>
      </c>
      <c r="G165">
        <f>C165-Engagment_Summary_Clean[[#This Row],[Unfollows]]</f>
        <v>1242</v>
      </c>
      <c r="H165">
        <v>11383</v>
      </c>
      <c r="I165" s="21">
        <v>1.2622336046830695E-2</v>
      </c>
      <c r="J16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5" t="str" cm="1">
        <f t="array" ref="K16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5">
        <f>Engagment_Summary_Clean[[#This Row],[Engagement_Rate]]/Engagment_Summary_Clean[[#This Row],[Ad_Spend]]*100</f>
        <v>5.3676535184046394E-2</v>
      </c>
    </row>
    <row r="166" spans="1:12" x14ac:dyDescent="0.3">
      <c r="A166" s="11">
        <v>45733</v>
      </c>
      <c r="B166" t="s">
        <v>31</v>
      </c>
      <c r="C166">
        <v>1102</v>
      </c>
      <c r="D166">
        <v>422</v>
      </c>
      <c r="E166">
        <v>410330</v>
      </c>
      <c r="F166">
        <v>7.74</v>
      </c>
      <c r="G166">
        <f>C166-Engagment_Summary_Clean[[#This Row],[Unfollows]]</f>
        <v>680</v>
      </c>
      <c r="H166">
        <v>9480</v>
      </c>
      <c r="I166" s="21">
        <v>1.6572027392586454E-3</v>
      </c>
      <c r="J16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6" t="str" cm="1">
        <f t="array" ref="K16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6">
        <f>Engagment_Summary_Clean[[#This Row],[Engagement_Rate]]/Engagment_Summary_Clean[[#This Row],[Ad_Spend]]*100</f>
        <v>8.1645569620253169E-2</v>
      </c>
    </row>
    <row r="167" spans="1:12" x14ac:dyDescent="0.3">
      <c r="A167" s="11">
        <v>45733</v>
      </c>
      <c r="B167" t="s">
        <v>40</v>
      </c>
      <c r="C167">
        <v>1358</v>
      </c>
      <c r="D167">
        <v>242</v>
      </c>
      <c r="E167">
        <v>342129</v>
      </c>
      <c r="F167">
        <v>4.9400000000000004</v>
      </c>
      <c r="G167">
        <f>C167-Engagment_Summary_Clean[[#This Row],[Unfollows]]</f>
        <v>1116</v>
      </c>
      <c r="H167">
        <v>29116</v>
      </c>
      <c r="I167" s="21">
        <v>3.2619275185675578E-3</v>
      </c>
      <c r="J16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7" t="str" cm="1">
        <f t="array" ref="K16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7">
        <f>Engagment_Summary_Clean[[#This Row],[Engagement_Rate]]/Engagment_Summary_Clean[[#This Row],[Ad_Spend]]*100</f>
        <v>1.6966616293446903E-2</v>
      </c>
    </row>
    <row r="168" spans="1:12" x14ac:dyDescent="0.3">
      <c r="A168" s="11">
        <v>45733</v>
      </c>
      <c r="B168" t="s">
        <v>14</v>
      </c>
      <c r="C168">
        <v>1077</v>
      </c>
      <c r="D168">
        <v>216</v>
      </c>
      <c r="E168">
        <v>12447</v>
      </c>
      <c r="F168">
        <v>1.8</v>
      </c>
      <c r="G168">
        <f>C168-Engagment_Summary_Clean[[#This Row],[Unfollows]]</f>
        <v>861</v>
      </c>
      <c r="H168">
        <v>14068</v>
      </c>
      <c r="I168" s="21">
        <v>6.9173294769824048E-2</v>
      </c>
      <c r="J16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8" t="str" cm="1">
        <f t="array" ref="K16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8">
        <f>Engagment_Summary_Clean[[#This Row],[Engagement_Rate]]/Engagment_Summary_Clean[[#This Row],[Ad_Spend]]*100</f>
        <v>1.2794995735001421E-2</v>
      </c>
    </row>
    <row r="169" spans="1:12" x14ac:dyDescent="0.3">
      <c r="A169" s="11">
        <v>45733</v>
      </c>
      <c r="B169" t="s">
        <v>576</v>
      </c>
      <c r="C169">
        <v>1596</v>
      </c>
      <c r="D169">
        <v>211</v>
      </c>
      <c r="E169">
        <v>17380</v>
      </c>
      <c r="F169">
        <v>8.64</v>
      </c>
      <c r="G169">
        <f>C169-Engagment_Summary_Clean[[#This Row],[Unfollows]]</f>
        <v>1385</v>
      </c>
      <c r="H169">
        <v>35801</v>
      </c>
      <c r="I169" s="21">
        <v>7.9689298043728429E-2</v>
      </c>
      <c r="J16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69" t="str" cm="1">
        <f t="array" ref="K16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69">
        <f>Engagment_Summary_Clean[[#This Row],[Engagement_Rate]]/Engagment_Summary_Clean[[#This Row],[Ad_Spend]]*100</f>
        <v>2.4133404094857685E-2</v>
      </c>
    </row>
    <row r="170" spans="1:12" x14ac:dyDescent="0.3">
      <c r="A170" s="11">
        <v>45740</v>
      </c>
      <c r="B170" t="s">
        <v>31</v>
      </c>
      <c r="C170">
        <v>490</v>
      </c>
      <c r="D170">
        <v>29</v>
      </c>
      <c r="E170">
        <v>364810</v>
      </c>
      <c r="F170">
        <v>1.53</v>
      </c>
      <c r="G170">
        <f>C170-Engagment_Summary_Clean[[#This Row],[Unfollows]]</f>
        <v>461</v>
      </c>
      <c r="H170">
        <v>49077</v>
      </c>
      <c r="I170" s="21">
        <v>1.2636715002329981E-3</v>
      </c>
      <c r="J17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0" t="str" cm="1">
        <f t="array" ref="K17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0">
        <f>Engagment_Summary_Clean[[#This Row],[Engagement_Rate]]/Engagment_Summary_Clean[[#This Row],[Ad_Spend]]*100</f>
        <v>3.117549972492206E-3</v>
      </c>
    </row>
    <row r="171" spans="1:12" x14ac:dyDescent="0.3">
      <c r="A171" s="11">
        <v>45740</v>
      </c>
      <c r="B171" t="s">
        <v>40</v>
      </c>
      <c r="C171">
        <v>609</v>
      </c>
      <c r="D171">
        <v>135</v>
      </c>
      <c r="E171">
        <v>373606</v>
      </c>
      <c r="F171">
        <v>8.52</v>
      </c>
      <c r="G171">
        <f>C171-Engagment_Summary_Clean[[#This Row],[Unfollows]]</f>
        <v>474</v>
      </c>
      <c r="H171">
        <v>21453</v>
      </c>
      <c r="I171" s="21">
        <v>1.268716241173857E-3</v>
      </c>
      <c r="J17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1" t="str" cm="1">
        <f t="array" ref="K17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1">
        <f>Engagment_Summary_Clean[[#This Row],[Engagement_Rate]]/Engagment_Summary_Clean[[#This Row],[Ad_Spend]]*100</f>
        <v>3.9714725213256891E-2</v>
      </c>
    </row>
    <row r="172" spans="1:12" x14ac:dyDescent="0.3">
      <c r="A172" s="11">
        <v>45740</v>
      </c>
      <c r="B172" t="s">
        <v>14</v>
      </c>
      <c r="C172">
        <v>364</v>
      </c>
      <c r="D172">
        <v>72</v>
      </c>
      <c r="E172">
        <v>211090</v>
      </c>
      <c r="F172">
        <v>5.53</v>
      </c>
      <c r="G172">
        <f>C172-Engagment_Summary_Clean[[#This Row],[Unfollows]]</f>
        <v>292</v>
      </c>
      <c r="H172">
        <v>21061</v>
      </c>
      <c r="I172" s="21">
        <v>1.3832962243592781E-3</v>
      </c>
      <c r="J17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2" t="str" cm="1">
        <f t="array" ref="K17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2">
        <f>Engagment_Summary_Clean[[#This Row],[Engagement_Rate]]/Engagment_Summary_Clean[[#This Row],[Ad_Spend]]*100</f>
        <v>2.6257062817530034E-2</v>
      </c>
    </row>
    <row r="173" spans="1:12" x14ac:dyDescent="0.3">
      <c r="A173" s="11">
        <v>45740</v>
      </c>
      <c r="B173" t="s">
        <v>576</v>
      </c>
      <c r="C173">
        <v>442</v>
      </c>
      <c r="D173">
        <v>53</v>
      </c>
      <c r="E173">
        <v>441931</v>
      </c>
      <c r="F173">
        <v>1.87</v>
      </c>
      <c r="G173">
        <f>C173-Engagment_Summary_Clean[[#This Row],[Unfollows]]</f>
        <v>389</v>
      </c>
      <c r="H173">
        <v>20059</v>
      </c>
      <c r="I173" s="21">
        <v>8.8022790888170322E-4</v>
      </c>
      <c r="J17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3" t="str" cm="1">
        <f t="array" ref="K17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3">
        <f>Engagment_Summary_Clean[[#This Row],[Engagement_Rate]]/Engagment_Summary_Clean[[#This Row],[Ad_Spend]]*100</f>
        <v>9.3224986290443203E-3</v>
      </c>
    </row>
    <row r="174" spans="1:12" x14ac:dyDescent="0.3">
      <c r="A174" s="11">
        <v>45747</v>
      </c>
      <c r="B174" t="s">
        <v>31</v>
      </c>
      <c r="C174">
        <v>1033</v>
      </c>
      <c r="D174">
        <v>392</v>
      </c>
      <c r="E174">
        <v>282780</v>
      </c>
      <c r="F174">
        <v>6.27</v>
      </c>
      <c r="G174">
        <f>C174-Engagment_Summary_Clean[[#This Row],[Unfollows]]</f>
        <v>641</v>
      </c>
      <c r="H174">
        <v>23140</v>
      </c>
      <c r="I174" s="21">
        <v>2.2667798288422093E-3</v>
      </c>
      <c r="J17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4" t="str" cm="1">
        <f t="array" ref="K17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4">
        <f>Engagment_Summary_Clean[[#This Row],[Engagement_Rate]]/Engagment_Summary_Clean[[#This Row],[Ad_Spend]]*100</f>
        <v>2.7095937770095075E-2</v>
      </c>
    </row>
    <row r="175" spans="1:12" x14ac:dyDescent="0.3">
      <c r="A175" s="11">
        <v>45747</v>
      </c>
      <c r="B175" t="s">
        <v>40</v>
      </c>
      <c r="C175">
        <v>988</v>
      </c>
      <c r="D175">
        <v>474</v>
      </c>
      <c r="E175">
        <v>370070</v>
      </c>
      <c r="F175">
        <v>9.4600000000000009</v>
      </c>
      <c r="G175">
        <f>C175-Engagment_Summary_Clean[[#This Row],[Unfollows]]</f>
        <v>514</v>
      </c>
      <c r="H175">
        <v>23461</v>
      </c>
      <c r="I175" s="21">
        <v>1.3889264193260734E-3</v>
      </c>
      <c r="J17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5" t="str" cm="1">
        <f t="array" ref="K17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5">
        <f>Engagment_Summary_Clean[[#This Row],[Engagement_Rate]]/Engagment_Summary_Clean[[#This Row],[Ad_Spend]]*100</f>
        <v>4.0322236903797798E-2</v>
      </c>
    </row>
    <row r="176" spans="1:12" x14ac:dyDescent="0.3">
      <c r="A176" s="11">
        <v>45747</v>
      </c>
      <c r="B176" t="s">
        <v>14</v>
      </c>
      <c r="C176">
        <v>1946</v>
      </c>
      <c r="D176">
        <v>270</v>
      </c>
      <c r="E176">
        <v>198350</v>
      </c>
      <c r="F176">
        <v>7.5</v>
      </c>
      <c r="G176">
        <f>C176-Engagment_Summary_Clean[[#This Row],[Unfollows]]</f>
        <v>1676</v>
      </c>
      <c r="H176">
        <v>11805</v>
      </c>
      <c r="I176" s="21">
        <v>8.4497101083942528E-3</v>
      </c>
      <c r="J17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6" t="str" cm="1">
        <f t="array" ref="K17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6">
        <f>Engagment_Summary_Clean[[#This Row],[Engagement_Rate]]/Engagment_Summary_Clean[[#This Row],[Ad_Spend]]*100</f>
        <v>6.353240152477764E-2</v>
      </c>
    </row>
    <row r="177" spans="1:12" x14ac:dyDescent="0.3">
      <c r="A177" s="11">
        <v>45747</v>
      </c>
      <c r="B177" t="s">
        <v>576</v>
      </c>
      <c r="C177">
        <v>1957</v>
      </c>
      <c r="D177">
        <v>490</v>
      </c>
      <c r="E177">
        <v>435726</v>
      </c>
      <c r="F177">
        <v>4.7300000000000004</v>
      </c>
      <c r="G177">
        <f>C177-Engagment_Summary_Clean[[#This Row],[Unfollows]]</f>
        <v>1467</v>
      </c>
      <c r="H177">
        <v>15969</v>
      </c>
      <c r="I177" s="21">
        <v>3.3667947287974553E-3</v>
      </c>
      <c r="J17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7" t="str" cm="1">
        <f t="array" ref="K17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7">
        <f>Engagment_Summary_Clean[[#This Row],[Engagement_Rate]]/Engagment_Summary_Clean[[#This Row],[Ad_Spend]]*100</f>
        <v>2.9619888534034695E-2</v>
      </c>
    </row>
    <row r="178" spans="1:12" x14ac:dyDescent="0.3">
      <c r="A178" s="11">
        <v>45754</v>
      </c>
      <c r="B178" t="s">
        <v>31</v>
      </c>
      <c r="C178">
        <v>559</v>
      </c>
      <c r="D178">
        <v>392</v>
      </c>
      <c r="E178">
        <v>78789</v>
      </c>
      <c r="F178">
        <v>3.19</v>
      </c>
      <c r="G178">
        <f>C178-Engagment_Summary_Clean[[#This Row],[Unfollows]]</f>
        <v>167</v>
      </c>
      <c r="H178">
        <v>2436</v>
      </c>
      <c r="I178" s="21">
        <v>2.1195852212872357E-3</v>
      </c>
      <c r="J17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8" t="str" cm="1">
        <f t="array" ref="K17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8">
        <f>Engagment_Summary_Clean[[#This Row],[Engagement_Rate]]/Engagment_Summary_Clean[[#This Row],[Ad_Spend]]*100</f>
        <v>0.13095238095238096</v>
      </c>
    </row>
    <row r="179" spans="1:12" x14ac:dyDescent="0.3">
      <c r="A179" s="11">
        <v>45754</v>
      </c>
      <c r="B179" t="s">
        <v>40</v>
      </c>
      <c r="C179">
        <v>1307</v>
      </c>
      <c r="D179">
        <v>278</v>
      </c>
      <c r="E179">
        <v>98596</v>
      </c>
      <c r="F179">
        <v>2.4900000000000002</v>
      </c>
      <c r="G179">
        <f>C179-Engagment_Summary_Clean[[#This Row],[Unfollows]]</f>
        <v>1029</v>
      </c>
      <c r="H179">
        <v>47603</v>
      </c>
      <c r="I179" s="21">
        <v>1.0436528865268368E-2</v>
      </c>
      <c r="J17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79" t="str" cm="1">
        <f t="array" ref="K17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79">
        <f>Engagment_Summary_Clean[[#This Row],[Engagement_Rate]]/Engagment_Summary_Clean[[#This Row],[Ad_Spend]]*100</f>
        <v>5.230762767052497E-3</v>
      </c>
    </row>
    <row r="180" spans="1:12" x14ac:dyDescent="0.3">
      <c r="A180" s="11">
        <v>45754</v>
      </c>
      <c r="B180" t="s">
        <v>14</v>
      </c>
      <c r="C180">
        <v>1432</v>
      </c>
      <c r="D180">
        <v>425</v>
      </c>
      <c r="E180">
        <v>29589</v>
      </c>
      <c r="F180">
        <v>4.5</v>
      </c>
      <c r="G180">
        <f>C180-Engagment_Summary_Clean[[#This Row],[Unfollows]]</f>
        <v>1007</v>
      </c>
      <c r="H180">
        <v>42964</v>
      </c>
      <c r="I180" s="21">
        <v>3.4032917638311531E-2</v>
      </c>
      <c r="J18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0" t="str" cm="1">
        <f t="array" ref="K18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0">
        <f>Engagment_Summary_Clean[[#This Row],[Engagement_Rate]]/Engagment_Summary_Clean[[#This Row],[Ad_Spend]]*100</f>
        <v>1.0473885113117958E-2</v>
      </c>
    </row>
    <row r="181" spans="1:12" x14ac:dyDescent="0.3">
      <c r="A181" s="11">
        <v>45754</v>
      </c>
      <c r="B181" t="s">
        <v>576</v>
      </c>
      <c r="C181">
        <v>623</v>
      </c>
      <c r="D181">
        <v>414</v>
      </c>
      <c r="E181">
        <v>290354</v>
      </c>
      <c r="F181">
        <v>6.49</v>
      </c>
      <c r="G181">
        <f>C181-Engagment_Summary_Clean[[#This Row],[Unfollows]]</f>
        <v>209</v>
      </c>
      <c r="H181">
        <v>39923</v>
      </c>
      <c r="I181" s="21">
        <v>7.1981098934404211E-4</v>
      </c>
      <c r="J18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1" t="str" cm="1">
        <f t="array" ref="K18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1">
        <f>Engagment_Summary_Clean[[#This Row],[Engagement_Rate]]/Engagment_Summary_Clean[[#This Row],[Ad_Spend]]*100</f>
        <v>1.6256293364727101E-2</v>
      </c>
    </row>
    <row r="182" spans="1:12" x14ac:dyDescent="0.3">
      <c r="A182" s="11">
        <v>45761</v>
      </c>
      <c r="B182" t="s">
        <v>31</v>
      </c>
      <c r="C182">
        <v>198</v>
      </c>
      <c r="D182">
        <v>358</v>
      </c>
      <c r="E182">
        <v>66682</v>
      </c>
      <c r="F182">
        <v>6.73</v>
      </c>
      <c r="G182">
        <f>C182-Engagment_Summary_Clean[[#This Row],[Unfollows]]</f>
        <v>-160</v>
      </c>
      <c r="H182">
        <v>2293</v>
      </c>
      <c r="I182" s="21">
        <v>-2.3994481269308059E-3</v>
      </c>
      <c r="J18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2" t="str" cm="1">
        <f t="array" ref="K18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2">
        <f>Engagment_Summary_Clean[[#This Row],[Engagement_Rate]]/Engagment_Summary_Clean[[#This Row],[Ad_Spend]]*100</f>
        <v>0.29350196249454863</v>
      </c>
    </row>
    <row r="183" spans="1:12" x14ac:dyDescent="0.3">
      <c r="A183" s="11">
        <v>45761</v>
      </c>
      <c r="B183" t="s">
        <v>40</v>
      </c>
      <c r="C183">
        <v>198</v>
      </c>
      <c r="D183">
        <v>373</v>
      </c>
      <c r="E183">
        <v>70707</v>
      </c>
      <c r="F183">
        <v>4.83</v>
      </c>
      <c r="G183">
        <f>C183-Engagment_Summary_Clean[[#This Row],[Unfollows]]</f>
        <v>-175</v>
      </c>
      <c r="H183">
        <v>25920</v>
      </c>
      <c r="I183" s="21">
        <v>-2.4750024750024749E-3</v>
      </c>
      <c r="J18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3" t="str" cm="1">
        <f t="array" ref="K18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3">
        <f>Engagment_Summary_Clean[[#This Row],[Engagement_Rate]]/Engagment_Summary_Clean[[#This Row],[Ad_Spend]]*100</f>
        <v>1.863425925925926E-2</v>
      </c>
    </row>
    <row r="184" spans="1:12" x14ac:dyDescent="0.3">
      <c r="A184" s="11">
        <v>45761</v>
      </c>
      <c r="B184" t="s">
        <v>14</v>
      </c>
      <c r="C184">
        <v>353</v>
      </c>
      <c r="D184">
        <v>300</v>
      </c>
      <c r="E184">
        <v>142507</v>
      </c>
      <c r="F184">
        <v>5.3</v>
      </c>
      <c r="G184">
        <f>C184-Engagment_Summary_Clean[[#This Row],[Unfollows]]</f>
        <v>53</v>
      </c>
      <c r="H184">
        <v>11035</v>
      </c>
      <c r="I184" s="21">
        <v>3.7191155522184875E-4</v>
      </c>
      <c r="J18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4" t="str" cm="1">
        <f t="array" ref="K18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4">
        <f>Engagment_Summary_Clean[[#This Row],[Engagement_Rate]]/Engagment_Summary_Clean[[#This Row],[Ad_Spend]]*100</f>
        <v>4.8028998640688714E-2</v>
      </c>
    </row>
    <row r="185" spans="1:12" x14ac:dyDescent="0.3">
      <c r="A185" s="11">
        <v>45761</v>
      </c>
      <c r="B185" t="s">
        <v>576</v>
      </c>
      <c r="C185">
        <v>520</v>
      </c>
      <c r="D185">
        <v>375</v>
      </c>
      <c r="E185">
        <v>369525</v>
      </c>
      <c r="F185">
        <v>6.54</v>
      </c>
      <c r="G185">
        <f>C185-Engagment_Summary_Clean[[#This Row],[Unfollows]]</f>
        <v>145</v>
      </c>
      <c r="H185">
        <v>20733</v>
      </c>
      <c r="I185" s="21">
        <v>3.9239564305527366E-4</v>
      </c>
      <c r="J18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5" t="str" cm="1">
        <f t="array" ref="K18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5">
        <f>Engagment_Summary_Clean[[#This Row],[Engagement_Rate]]/Engagment_Summary_Clean[[#This Row],[Ad_Spend]]*100</f>
        <v>3.1543915497033718E-2</v>
      </c>
    </row>
    <row r="186" spans="1:12" x14ac:dyDescent="0.3">
      <c r="A186" s="11">
        <v>45768</v>
      </c>
      <c r="B186" t="s">
        <v>31</v>
      </c>
      <c r="C186">
        <v>961</v>
      </c>
      <c r="D186">
        <v>358</v>
      </c>
      <c r="E186">
        <v>62942</v>
      </c>
      <c r="F186">
        <v>6.8</v>
      </c>
      <c r="G186">
        <f>C186-Engagment_Summary_Clean[[#This Row],[Unfollows]]</f>
        <v>603</v>
      </c>
      <c r="H186">
        <v>18693</v>
      </c>
      <c r="I186" s="21">
        <v>9.5802484827301332E-3</v>
      </c>
      <c r="J18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6" t="str" cm="1">
        <f t="array" ref="K18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6">
        <f>Engagment_Summary_Clean[[#This Row],[Engagement_Rate]]/Engagment_Summary_Clean[[#This Row],[Ad_Spend]]*100</f>
        <v>3.6377253517359438E-2</v>
      </c>
    </row>
    <row r="187" spans="1:12" x14ac:dyDescent="0.3">
      <c r="A187" s="11">
        <v>45768</v>
      </c>
      <c r="B187" t="s">
        <v>40</v>
      </c>
      <c r="C187">
        <v>1375</v>
      </c>
      <c r="D187">
        <v>330</v>
      </c>
      <c r="E187">
        <v>377382</v>
      </c>
      <c r="F187">
        <v>2.6</v>
      </c>
      <c r="G187">
        <f>C187-Engagment_Summary_Clean[[#This Row],[Unfollows]]</f>
        <v>1045</v>
      </c>
      <c r="H187">
        <v>7875</v>
      </c>
      <c r="I187" s="21">
        <v>2.7690774864725927E-3</v>
      </c>
      <c r="J18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7" t="str" cm="1">
        <f t="array" ref="K18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7">
        <f>Engagment_Summary_Clean[[#This Row],[Engagement_Rate]]/Engagment_Summary_Clean[[#This Row],[Ad_Spend]]*100</f>
        <v>3.3015873015873019E-2</v>
      </c>
    </row>
    <row r="188" spans="1:12" x14ac:dyDescent="0.3">
      <c r="A188" s="11">
        <v>45768</v>
      </c>
      <c r="B188" t="s">
        <v>14</v>
      </c>
      <c r="C188">
        <v>1147</v>
      </c>
      <c r="D188">
        <v>388</v>
      </c>
      <c r="E188">
        <v>333851</v>
      </c>
      <c r="F188">
        <v>2.44</v>
      </c>
      <c r="G188">
        <f>C188-Engagment_Summary_Clean[[#This Row],[Unfollows]]</f>
        <v>759</v>
      </c>
      <c r="H188">
        <v>8471</v>
      </c>
      <c r="I188" s="21">
        <v>2.2734693021737242E-3</v>
      </c>
      <c r="J18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8" t="str" cm="1">
        <f t="array" ref="K18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8">
        <f>Engagment_Summary_Clean[[#This Row],[Engagement_Rate]]/Engagment_Summary_Clean[[#This Row],[Ad_Spend]]*100</f>
        <v>2.8804155353559204E-2</v>
      </c>
    </row>
    <row r="189" spans="1:12" x14ac:dyDescent="0.3">
      <c r="A189" s="11">
        <v>45768</v>
      </c>
      <c r="B189" t="s">
        <v>576</v>
      </c>
      <c r="C189">
        <v>1707</v>
      </c>
      <c r="D189">
        <v>74</v>
      </c>
      <c r="E189">
        <v>270958</v>
      </c>
      <c r="F189">
        <v>3.09</v>
      </c>
      <c r="G189">
        <f>C189-Engagment_Summary_Clean[[#This Row],[Unfollows]]</f>
        <v>1633</v>
      </c>
      <c r="H189">
        <v>14090</v>
      </c>
      <c r="I189" s="21">
        <v>6.0267642955734836E-3</v>
      </c>
      <c r="J18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89" t="str" cm="1">
        <f t="array" ref="K18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89">
        <f>Engagment_Summary_Clean[[#This Row],[Engagement_Rate]]/Engagment_Summary_Clean[[#This Row],[Ad_Spend]]*100</f>
        <v>2.1930447125621009E-2</v>
      </c>
    </row>
    <row r="190" spans="1:12" x14ac:dyDescent="0.3">
      <c r="A190" s="11">
        <v>45775</v>
      </c>
      <c r="B190" t="s">
        <v>31</v>
      </c>
      <c r="C190">
        <v>1693</v>
      </c>
      <c r="D190">
        <v>154</v>
      </c>
      <c r="E190">
        <v>445944</v>
      </c>
      <c r="F190">
        <v>5.69</v>
      </c>
      <c r="G190">
        <f>C190-Engagment_Summary_Clean[[#This Row],[Unfollows]]</f>
        <v>1539</v>
      </c>
      <c r="H190">
        <v>14216</v>
      </c>
      <c r="I190" s="21">
        <v>3.4511059684624078E-3</v>
      </c>
      <c r="J19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0" t="str" cm="1">
        <f t="array" ref="K19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0">
        <f>Engagment_Summary_Clean[[#This Row],[Engagement_Rate]]/Engagment_Summary_Clean[[#This Row],[Ad_Spend]]*100</f>
        <v>4.0025323579065838E-2</v>
      </c>
    </row>
    <row r="191" spans="1:12" x14ac:dyDescent="0.3">
      <c r="A191" s="11">
        <v>45775</v>
      </c>
      <c r="B191" t="s">
        <v>40</v>
      </c>
      <c r="C191">
        <v>833</v>
      </c>
      <c r="D191">
        <v>380</v>
      </c>
      <c r="E191">
        <v>224830</v>
      </c>
      <c r="F191">
        <v>3.86</v>
      </c>
      <c r="G191">
        <f>C191-Engagment_Summary_Clean[[#This Row],[Unfollows]]</f>
        <v>453</v>
      </c>
      <c r="H191">
        <v>3582</v>
      </c>
      <c r="I191" s="21">
        <v>2.014855668727483E-3</v>
      </c>
      <c r="J19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1" t="str" cm="1">
        <f t="array" ref="K19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1">
        <f>Engagment_Summary_Clean[[#This Row],[Engagement_Rate]]/Engagment_Summary_Clean[[#This Row],[Ad_Spend]]*100</f>
        <v>0.1077610273590173</v>
      </c>
    </row>
    <row r="192" spans="1:12" x14ac:dyDescent="0.3">
      <c r="A192" s="11">
        <v>45775</v>
      </c>
      <c r="B192" t="s">
        <v>14</v>
      </c>
      <c r="C192">
        <v>1222</v>
      </c>
      <c r="D192">
        <v>274</v>
      </c>
      <c r="E192">
        <v>487289</v>
      </c>
      <c r="F192">
        <v>3.16</v>
      </c>
      <c r="G192">
        <f>C192-Engagment_Summary_Clean[[#This Row],[Unfollows]]</f>
        <v>948</v>
      </c>
      <c r="H192">
        <v>32500</v>
      </c>
      <c r="I192" s="21">
        <v>1.9454574184929272E-3</v>
      </c>
      <c r="J192"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2" t="str" cm="1">
        <f t="array" ref="K192">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2">
        <f>Engagment_Summary_Clean[[#This Row],[Engagement_Rate]]/Engagment_Summary_Clean[[#This Row],[Ad_Spend]]*100</f>
        <v>9.7230769230769246E-3</v>
      </c>
    </row>
    <row r="193" spans="1:12" x14ac:dyDescent="0.3">
      <c r="A193" s="11">
        <v>45775</v>
      </c>
      <c r="B193" t="s">
        <v>576</v>
      </c>
      <c r="C193">
        <v>777</v>
      </c>
      <c r="D193">
        <v>140</v>
      </c>
      <c r="E193">
        <v>11435</v>
      </c>
      <c r="F193">
        <v>1.6</v>
      </c>
      <c r="G193">
        <f>C193-Engagment_Summary_Clean[[#This Row],[Unfollows]]</f>
        <v>637</v>
      </c>
      <c r="H193">
        <v>6832</v>
      </c>
      <c r="I193" s="21">
        <v>5.5706165282028861E-2</v>
      </c>
      <c r="J193"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3" t="str" cm="1">
        <f t="array" ref="K193">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3">
        <f>Engagment_Summary_Clean[[#This Row],[Engagement_Rate]]/Engagment_Summary_Clean[[#This Row],[Ad_Spend]]*100</f>
        <v>2.3419203747072598E-2</v>
      </c>
    </row>
    <row r="194" spans="1:12" x14ac:dyDescent="0.3">
      <c r="A194" s="11">
        <v>45782</v>
      </c>
      <c r="B194" t="s">
        <v>31</v>
      </c>
      <c r="C194">
        <v>1957</v>
      </c>
      <c r="D194">
        <v>76</v>
      </c>
      <c r="E194">
        <v>447902</v>
      </c>
      <c r="F194">
        <v>6.09</v>
      </c>
      <c r="G194">
        <f>C194-Engagment_Summary_Clean[[#This Row],[Unfollows]]</f>
        <v>1881</v>
      </c>
      <c r="H194">
        <v>33381</v>
      </c>
      <c r="I194" s="21">
        <v>4.1995793722733989E-3</v>
      </c>
      <c r="J194"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4" t="str" cm="1">
        <f t="array" ref="K194">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4">
        <f>Engagment_Summary_Clean[[#This Row],[Engagement_Rate]]/Engagment_Summary_Clean[[#This Row],[Ad_Spend]]*100</f>
        <v>1.8243911206974026E-2</v>
      </c>
    </row>
    <row r="195" spans="1:12" x14ac:dyDescent="0.3">
      <c r="A195" s="11">
        <v>45782</v>
      </c>
      <c r="B195" t="s">
        <v>40</v>
      </c>
      <c r="C195">
        <v>405</v>
      </c>
      <c r="D195">
        <v>66</v>
      </c>
      <c r="E195">
        <v>418696</v>
      </c>
      <c r="F195">
        <v>5.59</v>
      </c>
      <c r="G195">
        <f>C195-Engagment_Summary_Clean[[#This Row],[Unfollows]]</f>
        <v>339</v>
      </c>
      <c r="H195">
        <v>48419</v>
      </c>
      <c r="I195" s="21">
        <v>8.0965664826031301E-4</v>
      </c>
      <c r="J195"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5" t="str" cm="1">
        <f t="array" ref="K195">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5">
        <f>Engagment_Summary_Clean[[#This Row],[Engagement_Rate]]/Engagment_Summary_Clean[[#This Row],[Ad_Spend]]*100</f>
        <v>1.1545054627315723E-2</v>
      </c>
    </row>
    <row r="196" spans="1:12" x14ac:dyDescent="0.3">
      <c r="A196" s="11">
        <v>45782</v>
      </c>
      <c r="B196" t="s">
        <v>14</v>
      </c>
      <c r="C196">
        <v>1581</v>
      </c>
      <c r="D196">
        <v>71</v>
      </c>
      <c r="E196">
        <v>484364</v>
      </c>
      <c r="F196">
        <v>3.55</v>
      </c>
      <c r="G196">
        <f>C196-Engagment_Summary_Clean[[#This Row],[Unfollows]]</f>
        <v>1510</v>
      </c>
      <c r="H196">
        <v>16149</v>
      </c>
      <c r="I196" s="21">
        <v>3.1174901520344203E-3</v>
      </c>
      <c r="J196"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6" t="str" cm="1">
        <f t="array" ref="K196">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6">
        <f>Engagment_Summary_Clean[[#This Row],[Engagement_Rate]]/Engagment_Summary_Clean[[#This Row],[Ad_Spend]]*100</f>
        <v>2.198278531178401E-2</v>
      </c>
    </row>
    <row r="197" spans="1:12" x14ac:dyDescent="0.3">
      <c r="A197" s="11">
        <v>45782</v>
      </c>
      <c r="B197" t="s">
        <v>576</v>
      </c>
      <c r="C197">
        <v>1035</v>
      </c>
      <c r="D197">
        <v>171</v>
      </c>
      <c r="E197">
        <v>148477</v>
      </c>
      <c r="F197">
        <v>5.21</v>
      </c>
      <c r="G197">
        <f>C197-Engagment_Summary_Clean[[#This Row],[Unfollows]]</f>
        <v>864</v>
      </c>
      <c r="H197">
        <v>7541</v>
      </c>
      <c r="I197" s="21">
        <v>5.8190830903102836E-3</v>
      </c>
      <c r="J197"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7" t="str" cm="1">
        <f t="array" ref="K197">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7">
        <f>Engagment_Summary_Clean[[#This Row],[Engagement_Rate]]/Engagment_Summary_Clean[[#This Row],[Ad_Spend]]*100</f>
        <v>6.9088980241347298E-2</v>
      </c>
    </row>
    <row r="198" spans="1:12" x14ac:dyDescent="0.3">
      <c r="A198" s="11">
        <v>45789</v>
      </c>
      <c r="B198" t="s">
        <v>31</v>
      </c>
      <c r="C198">
        <v>1765</v>
      </c>
      <c r="D198">
        <v>109</v>
      </c>
      <c r="E198">
        <v>468301</v>
      </c>
      <c r="F198">
        <v>1.82</v>
      </c>
      <c r="G198">
        <f>C198-Engagment_Summary_Clean[[#This Row],[Unfollows]]</f>
        <v>1656</v>
      </c>
      <c r="H198">
        <v>20042</v>
      </c>
      <c r="I198" s="21">
        <v>3.5361871958419907E-3</v>
      </c>
      <c r="J198"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8" t="str" cm="1">
        <f t="array" ref="K198">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8">
        <f>Engagment_Summary_Clean[[#This Row],[Engagement_Rate]]/Engagment_Summary_Clean[[#This Row],[Ad_Spend]]*100</f>
        <v>9.0809300469015062E-3</v>
      </c>
    </row>
    <row r="199" spans="1:12" x14ac:dyDescent="0.3">
      <c r="A199" s="11">
        <v>45789</v>
      </c>
      <c r="B199" t="s">
        <v>40</v>
      </c>
      <c r="C199">
        <v>837</v>
      </c>
      <c r="D199">
        <v>430</v>
      </c>
      <c r="E199">
        <v>364820</v>
      </c>
      <c r="F199">
        <v>4</v>
      </c>
      <c r="G199">
        <f>C199-Engagment_Summary_Clean[[#This Row],[Unfollows]]</f>
        <v>407</v>
      </c>
      <c r="H199">
        <v>49400</v>
      </c>
      <c r="I199" s="21">
        <v>1.1156186612576065E-3</v>
      </c>
      <c r="J199"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199" t="str" cm="1">
        <f t="array" ref="K199">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199">
        <f>Engagment_Summary_Clean[[#This Row],[Engagement_Rate]]/Engagment_Summary_Clean[[#This Row],[Ad_Spend]]*100</f>
        <v>8.0971659919028341E-3</v>
      </c>
    </row>
    <row r="200" spans="1:12" x14ac:dyDescent="0.3">
      <c r="A200" s="11">
        <v>45789</v>
      </c>
      <c r="B200" t="s">
        <v>14</v>
      </c>
      <c r="C200">
        <v>337</v>
      </c>
      <c r="D200">
        <v>68</v>
      </c>
      <c r="E200">
        <v>456298</v>
      </c>
      <c r="F200">
        <v>7.57</v>
      </c>
      <c r="G200">
        <f>C200-Engagment_Summary_Clean[[#This Row],[Unfollows]]</f>
        <v>269</v>
      </c>
      <c r="H200">
        <v>4007</v>
      </c>
      <c r="I200" s="21">
        <v>5.8952701962314107E-4</v>
      </c>
      <c r="J200"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200" t="str" cm="1">
        <f t="array" ref="K200">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200">
        <f>Engagment_Summary_Clean[[#This Row],[Engagement_Rate]]/Engagment_Summary_Clean[[#This Row],[Ad_Spend]]*100</f>
        <v>0.18891939106563516</v>
      </c>
    </row>
    <row r="201" spans="1:12" x14ac:dyDescent="0.3">
      <c r="A201" s="11">
        <v>45789</v>
      </c>
      <c r="B201" t="s">
        <v>576</v>
      </c>
      <c r="C201">
        <v>119</v>
      </c>
      <c r="D201">
        <v>456</v>
      </c>
      <c r="E201">
        <v>82558</v>
      </c>
      <c r="F201">
        <v>6.81</v>
      </c>
      <c r="G201">
        <f>C201-Engagment_Summary_Clean[[#This Row],[Unfollows]]</f>
        <v>-337</v>
      </c>
      <c r="H201">
        <v>12174</v>
      </c>
      <c r="I201" s="21">
        <v>-4.0819787301048958E-3</v>
      </c>
      <c r="J201" t="str">
        <f>IF(
   COUNTIFS(
      Campaign_Data_Clean[Start_Date], "&lt;=" &amp; Engagment_Summary_Clean[[#This Row],[Week_Start_Date]],
      Campaign_Data_Clean[End_Date], "&gt;=" &amp; Engagment_Summary_Clean[[#This Row],[Week_Start_Date]]
   ) &gt; 0,
   "During Campaign",
   IF(
      COUNTIFS(
         Campaign_Data_Clean[Start_Date], "&gt;" &amp; Engagment_Summary_Clean[[#This Row],[Week_Start_Date]],
         Campaign_Data_Clean[Start_Date], "&lt;=" &amp; Engagment_Summary_Clean[[#This Row],[Week_Start_Date]] + 30
      ) &gt; 0,
      "Before Campaign",
      "NA"
   )
)</f>
        <v>NA</v>
      </c>
      <c r="K201" t="str" cm="1">
        <f t="array" ref="K201">IFERROR(
   _xlfn.XLOOKUP(
      1,
      (
         (Engagment_Summary_Clean[[#This Row],[Week_Start_Date]]&gt;=Campaign_Data_Clean[Start_Date])*
         (Engagment_Summary_Clean[[#This Row],[Week_Start_Date]]&lt;=Campaign_Data_Clean[End_Date])
      )+
      (
         (Engagment_Summary_Clean[[#This Row],[Week_Start_Date]]&gt;=Campaign_Data_Clean[Start_Date]-30)*
         (Engagment_Summary_Clean[[#This Row],[Week_Start_Date]]&lt;Campaign_Data_Clean[Start_Date])
      ),
      Campaign_Data_Clean[Campaign_Name]
   ),
   "NA"
)</f>
        <v>NA</v>
      </c>
      <c r="L201">
        <f>Engagment_Summary_Clean[[#This Row],[Engagement_Rate]]/Engagment_Summary_Clean[[#This Row],[Ad_Spend]]*100</f>
        <v>5.5938886150813202E-2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C931E-891C-48A1-9450-685A935AB432}">
  <dimension ref="A1:F5"/>
  <sheetViews>
    <sheetView workbookViewId="0">
      <selection activeCell="E2" sqref="E2"/>
    </sheetView>
  </sheetViews>
  <sheetFormatPr defaultRowHeight="14.4" x14ac:dyDescent="0.3"/>
  <cols>
    <col min="1" max="1" width="17.77734375" bestFit="1" customWidth="1"/>
    <col min="2" max="2" width="12.109375" bestFit="1" customWidth="1"/>
    <col min="3" max="3" width="11.33203125" bestFit="1" customWidth="1"/>
    <col min="4" max="4" width="26.33203125" bestFit="1" customWidth="1"/>
    <col min="5" max="5" width="14.44140625" bestFit="1" customWidth="1"/>
    <col min="6" max="6" width="17.77734375" bestFit="1" customWidth="1"/>
    <col min="7" max="7" width="6.33203125" bestFit="1" customWidth="1"/>
  </cols>
  <sheetData>
    <row r="1" spans="1:6" x14ac:dyDescent="0.3">
      <c r="A1" t="s">
        <v>12</v>
      </c>
      <c r="B1" t="s">
        <v>562</v>
      </c>
      <c r="C1" t="s">
        <v>563</v>
      </c>
      <c r="D1" t="s">
        <v>564</v>
      </c>
      <c r="E1" t="s">
        <v>565</v>
      </c>
      <c r="F1" t="s">
        <v>566</v>
      </c>
    </row>
    <row r="2" spans="1:6" x14ac:dyDescent="0.3">
      <c r="A2" t="s">
        <v>25</v>
      </c>
      <c r="B2" s="11">
        <v>45453</v>
      </c>
      <c r="C2" s="11">
        <v>45478</v>
      </c>
      <c r="D2" t="s">
        <v>567</v>
      </c>
      <c r="E2">
        <v>180000</v>
      </c>
      <c r="F2" t="s">
        <v>568</v>
      </c>
    </row>
    <row r="3" spans="1:6" x14ac:dyDescent="0.3">
      <c r="A3" t="s">
        <v>19</v>
      </c>
      <c r="B3" s="11">
        <v>45505</v>
      </c>
      <c r="C3" s="11">
        <v>45535</v>
      </c>
      <c r="D3" t="s">
        <v>569</v>
      </c>
      <c r="E3">
        <v>160000</v>
      </c>
      <c r="F3" t="s">
        <v>577</v>
      </c>
    </row>
    <row r="4" spans="1:6" x14ac:dyDescent="0.3">
      <c r="A4" t="s">
        <v>38</v>
      </c>
      <c r="B4" s="11">
        <v>45570</v>
      </c>
      <c r="C4" s="11">
        <v>45601</v>
      </c>
      <c r="D4" t="s">
        <v>571</v>
      </c>
      <c r="E4">
        <v>220000</v>
      </c>
      <c r="F4" t="s">
        <v>572</v>
      </c>
    </row>
    <row r="5" spans="1:6" x14ac:dyDescent="0.3">
      <c r="A5" t="s">
        <v>55</v>
      </c>
      <c r="B5" s="11">
        <v>45667</v>
      </c>
      <c r="C5" s="11">
        <v>45698</v>
      </c>
      <c r="D5" t="s">
        <v>573</v>
      </c>
      <c r="E5">
        <v>200000</v>
      </c>
      <c r="F5" t="s">
        <v>574</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6F465-DF83-43F2-BFCE-2F8EDA3124A9}">
  <dimension ref="A1:N457"/>
  <sheetViews>
    <sheetView topLeftCell="A449" workbookViewId="0">
      <selection activeCell="B465" sqref="B465"/>
    </sheetView>
  </sheetViews>
  <sheetFormatPr defaultRowHeight="14.4" x14ac:dyDescent="0.3"/>
  <cols>
    <col min="1" max="1" width="9.109375" bestFit="1" customWidth="1"/>
    <col min="2" max="2" width="10.5546875" bestFit="1" customWidth="1"/>
    <col min="3" max="3" width="10.33203125" bestFit="1" customWidth="1"/>
    <col min="4" max="4" width="14.5546875" bestFit="1" customWidth="1"/>
    <col min="5" max="5" width="49.6640625" bestFit="1" customWidth="1"/>
    <col min="6" max="6" width="7.33203125" bestFit="1" customWidth="1"/>
    <col min="7" max="7" width="8.77734375" bestFit="1" customWidth="1"/>
    <col min="8" max="8" width="12.33203125" bestFit="1" customWidth="1"/>
    <col min="9" max="9" width="13.21875" bestFit="1" customWidth="1"/>
    <col min="10" max="10" width="8.33203125" bestFit="1" customWidth="1"/>
    <col min="11" max="11" width="7.88671875" bestFit="1" customWidth="1"/>
    <col min="12" max="12" width="15.77734375" customWidth="1"/>
    <col min="13" max="13" width="17.77734375" bestFit="1" customWidth="1"/>
    <col min="14" max="14" width="13.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605</v>
      </c>
    </row>
    <row r="2" spans="1:14" x14ac:dyDescent="0.3">
      <c r="A2" t="s">
        <v>13</v>
      </c>
      <c r="B2" t="s">
        <v>14</v>
      </c>
      <c r="C2" s="11">
        <v>45649</v>
      </c>
      <c r="D2" t="s">
        <v>16</v>
      </c>
      <c r="E2" t="s">
        <v>17</v>
      </c>
      <c r="F2">
        <v>1461</v>
      </c>
      <c r="G2">
        <v>184</v>
      </c>
      <c r="H2">
        <v>344</v>
      </c>
      <c r="I2">
        <v>21915</v>
      </c>
      <c r="J2">
        <v>21675</v>
      </c>
      <c r="K2">
        <v>15</v>
      </c>
      <c r="L2" t="s">
        <v>18</v>
      </c>
      <c r="M2" t="s">
        <v>19</v>
      </c>
      <c r="N2" s="21">
        <v>9.0759753593429152E-2</v>
      </c>
    </row>
    <row r="3" spans="1:14" x14ac:dyDescent="0.3">
      <c r="A3" t="s">
        <v>20</v>
      </c>
      <c r="B3" t="s">
        <v>14</v>
      </c>
      <c r="C3" s="11">
        <v>45750</v>
      </c>
      <c r="D3" t="s">
        <v>22</v>
      </c>
      <c r="E3" t="s">
        <v>23</v>
      </c>
      <c r="F3">
        <v>4054</v>
      </c>
      <c r="G3">
        <v>389</v>
      </c>
      <c r="H3">
        <v>493</v>
      </c>
      <c r="I3">
        <v>64864</v>
      </c>
      <c r="J3">
        <v>64383</v>
      </c>
      <c r="K3">
        <v>117</v>
      </c>
      <c r="L3" t="s">
        <v>24</v>
      </c>
      <c r="M3" t="s">
        <v>25</v>
      </c>
      <c r="N3" s="21">
        <v>7.6097681302417369E-2</v>
      </c>
    </row>
    <row r="4" spans="1:14" x14ac:dyDescent="0.3">
      <c r="A4" t="s">
        <v>26</v>
      </c>
      <c r="B4" t="s">
        <v>27</v>
      </c>
      <c r="C4" s="11">
        <v>45789</v>
      </c>
      <c r="D4" t="s">
        <v>16</v>
      </c>
      <c r="E4" t="s">
        <v>17</v>
      </c>
      <c r="F4">
        <v>2795</v>
      </c>
      <c r="G4">
        <v>105</v>
      </c>
      <c r="H4">
        <v>49</v>
      </c>
      <c r="I4">
        <v>53105</v>
      </c>
      <c r="J4">
        <v>52307</v>
      </c>
      <c r="K4">
        <v>204</v>
      </c>
      <c r="L4" t="s">
        <v>24</v>
      </c>
      <c r="M4" t="s">
        <v>19</v>
      </c>
      <c r="N4" s="21">
        <v>5.5531494209584788E-2</v>
      </c>
    </row>
    <row r="5" spans="1:14" x14ac:dyDescent="0.3">
      <c r="A5" t="s">
        <v>26</v>
      </c>
      <c r="B5" t="s">
        <v>27</v>
      </c>
      <c r="C5" s="11">
        <v>45789</v>
      </c>
      <c r="D5" t="s">
        <v>16</v>
      </c>
      <c r="E5" t="s">
        <v>17</v>
      </c>
      <c r="F5">
        <v>2795</v>
      </c>
      <c r="G5">
        <v>105</v>
      </c>
      <c r="H5">
        <v>49</v>
      </c>
      <c r="I5">
        <v>53105</v>
      </c>
      <c r="J5">
        <v>52307</v>
      </c>
      <c r="K5">
        <v>204</v>
      </c>
      <c r="L5" t="s">
        <v>18</v>
      </c>
      <c r="M5" t="s">
        <v>19</v>
      </c>
      <c r="N5" s="21">
        <v>5.5531494209584788E-2</v>
      </c>
    </row>
    <row r="6" spans="1:14" x14ac:dyDescent="0.3">
      <c r="A6" t="s">
        <v>30</v>
      </c>
      <c r="B6" t="s">
        <v>31</v>
      </c>
      <c r="C6" s="11">
        <v>45516</v>
      </c>
      <c r="D6" t="s">
        <v>33</v>
      </c>
      <c r="E6" t="s">
        <v>34</v>
      </c>
      <c r="F6">
        <v>2404</v>
      </c>
      <c r="G6">
        <v>363</v>
      </c>
      <c r="H6">
        <v>138</v>
      </c>
      <c r="I6">
        <v>19232</v>
      </c>
      <c r="J6">
        <v>18636</v>
      </c>
      <c r="K6">
        <v>128</v>
      </c>
      <c r="L6" t="s">
        <v>18</v>
      </c>
      <c r="M6" t="s">
        <v>19</v>
      </c>
      <c r="N6" s="21">
        <v>0.15105033277870217</v>
      </c>
    </row>
    <row r="7" spans="1:14" x14ac:dyDescent="0.3">
      <c r="A7" t="s">
        <v>35</v>
      </c>
      <c r="B7" t="s">
        <v>27</v>
      </c>
      <c r="C7" s="11">
        <v>45469</v>
      </c>
      <c r="D7" t="s">
        <v>16</v>
      </c>
      <c r="E7" t="s">
        <v>17</v>
      </c>
      <c r="F7">
        <v>3557</v>
      </c>
      <c r="G7">
        <v>687</v>
      </c>
      <c r="H7">
        <v>424</v>
      </c>
      <c r="I7">
        <v>71140</v>
      </c>
      <c r="J7">
        <v>70701</v>
      </c>
      <c r="K7">
        <v>224</v>
      </c>
      <c r="L7" t="s">
        <v>58</v>
      </c>
      <c r="M7" t="s">
        <v>38</v>
      </c>
      <c r="N7" s="21">
        <v>6.5617093055946027E-2</v>
      </c>
    </row>
    <row r="8" spans="1:14" x14ac:dyDescent="0.3">
      <c r="A8" t="s">
        <v>35</v>
      </c>
      <c r="B8" t="s">
        <v>27</v>
      </c>
      <c r="C8" s="11">
        <v>45469</v>
      </c>
      <c r="D8" t="s">
        <v>16</v>
      </c>
      <c r="E8" t="s">
        <v>17</v>
      </c>
      <c r="F8">
        <v>3557</v>
      </c>
      <c r="G8">
        <v>687</v>
      </c>
      <c r="H8">
        <v>424</v>
      </c>
      <c r="I8">
        <v>71140</v>
      </c>
      <c r="J8">
        <v>70701</v>
      </c>
      <c r="K8">
        <v>224</v>
      </c>
      <c r="L8" t="s">
        <v>24</v>
      </c>
      <c r="M8" t="s">
        <v>38</v>
      </c>
      <c r="N8" s="21">
        <v>6.5617093055946027E-2</v>
      </c>
    </row>
    <row r="9" spans="1:14" x14ac:dyDescent="0.3">
      <c r="A9" t="s">
        <v>39</v>
      </c>
      <c r="B9" t="s">
        <v>40</v>
      </c>
      <c r="C9" s="11">
        <v>45596</v>
      </c>
      <c r="D9" t="s">
        <v>42</v>
      </c>
      <c r="E9" t="s">
        <v>43</v>
      </c>
      <c r="F9">
        <v>2945</v>
      </c>
      <c r="G9">
        <v>930</v>
      </c>
      <c r="H9">
        <v>355</v>
      </c>
      <c r="I9">
        <v>23560</v>
      </c>
      <c r="J9">
        <v>23275</v>
      </c>
      <c r="K9">
        <v>256</v>
      </c>
      <c r="L9" t="s">
        <v>44</v>
      </c>
      <c r="M9" t="s">
        <v>25</v>
      </c>
      <c r="N9" s="21">
        <v>0.17954159592529711</v>
      </c>
    </row>
    <row r="10" spans="1:14" x14ac:dyDescent="0.3">
      <c r="A10" t="s">
        <v>45</v>
      </c>
      <c r="B10" t="s">
        <v>14</v>
      </c>
      <c r="C10" s="11">
        <v>45467</v>
      </c>
      <c r="D10" t="s">
        <v>42</v>
      </c>
      <c r="E10" t="s">
        <v>43</v>
      </c>
      <c r="F10">
        <v>3860</v>
      </c>
      <c r="G10">
        <v>201</v>
      </c>
      <c r="H10">
        <v>279</v>
      </c>
      <c r="I10">
        <v>61760</v>
      </c>
      <c r="J10">
        <v>61660</v>
      </c>
      <c r="K10">
        <v>235</v>
      </c>
      <c r="L10" t="s">
        <v>44</v>
      </c>
      <c r="M10" t="s">
        <v>38</v>
      </c>
      <c r="N10" s="21">
        <v>7.0272020725388601E-2</v>
      </c>
    </row>
    <row r="11" spans="1:14" x14ac:dyDescent="0.3">
      <c r="A11" t="s">
        <v>47</v>
      </c>
      <c r="B11" t="s">
        <v>27</v>
      </c>
      <c r="C11" s="11">
        <v>45486</v>
      </c>
      <c r="D11" t="s">
        <v>49</v>
      </c>
      <c r="E11" t="s">
        <v>50</v>
      </c>
      <c r="F11">
        <v>3929</v>
      </c>
      <c r="G11">
        <v>262</v>
      </c>
      <c r="H11">
        <v>278</v>
      </c>
      <c r="I11">
        <v>43219</v>
      </c>
      <c r="J11">
        <v>42841</v>
      </c>
      <c r="K11">
        <v>39</v>
      </c>
      <c r="L11" t="s">
        <v>24</v>
      </c>
      <c r="M11" t="s">
        <v>38</v>
      </c>
      <c r="N11" s="21">
        <v>0.10340359564080613</v>
      </c>
    </row>
    <row r="12" spans="1:14" x14ac:dyDescent="0.3">
      <c r="A12" t="s">
        <v>47</v>
      </c>
      <c r="B12" t="s">
        <v>27</v>
      </c>
      <c r="C12" s="11">
        <v>45486</v>
      </c>
      <c r="D12" t="s">
        <v>49</v>
      </c>
      <c r="E12" t="s">
        <v>50</v>
      </c>
      <c r="F12">
        <v>3929</v>
      </c>
      <c r="G12">
        <v>262</v>
      </c>
      <c r="H12">
        <v>278</v>
      </c>
      <c r="I12">
        <v>43219</v>
      </c>
      <c r="J12">
        <v>42841</v>
      </c>
      <c r="K12">
        <v>39</v>
      </c>
      <c r="L12" t="s">
        <v>18</v>
      </c>
      <c r="M12" t="s">
        <v>38</v>
      </c>
      <c r="N12" s="21">
        <v>0.10340359564080613</v>
      </c>
    </row>
    <row r="13" spans="1:14" x14ac:dyDescent="0.3">
      <c r="A13" t="s">
        <v>51</v>
      </c>
      <c r="B13" t="s">
        <v>40</v>
      </c>
      <c r="C13" s="11">
        <v>45534</v>
      </c>
      <c r="D13" t="s">
        <v>22</v>
      </c>
      <c r="E13" t="s">
        <v>23</v>
      </c>
      <c r="F13">
        <v>3784</v>
      </c>
      <c r="G13">
        <v>808</v>
      </c>
      <c r="H13">
        <v>404</v>
      </c>
      <c r="I13">
        <v>56760</v>
      </c>
      <c r="J13">
        <v>56343</v>
      </c>
      <c r="K13">
        <v>131</v>
      </c>
      <c r="L13" t="s">
        <v>24</v>
      </c>
      <c r="M13" t="s">
        <v>38</v>
      </c>
      <c r="N13" s="21">
        <v>8.8019732205778717E-2</v>
      </c>
    </row>
    <row r="14" spans="1:14" x14ac:dyDescent="0.3">
      <c r="A14" t="s">
        <v>51</v>
      </c>
      <c r="B14" t="s">
        <v>40</v>
      </c>
      <c r="C14" s="11">
        <v>45534</v>
      </c>
      <c r="D14" t="s">
        <v>22</v>
      </c>
      <c r="E14" t="s">
        <v>23</v>
      </c>
      <c r="F14">
        <v>3784</v>
      </c>
      <c r="G14">
        <v>808</v>
      </c>
      <c r="H14">
        <v>404</v>
      </c>
      <c r="I14">
        <v>56760</v>
      </c>
      <c r="J14">
        <v>56343</v>
      </c>
      <c r="K14">
        <v>131</v>
      </c>
      <c r="L14" t="s">
        <v>18</v>
      </c>
      <c r="M14" t="s">
        <v>38</v>
      </c>
      <c r="N14" s="21">
        <v>8.8019732205778717E-2</v>
      </c>
    </row>
    <row r="15" spans="1:14" x14ac:dyDescent="0.3">
      <c r="A15" t="s">
        <v>53</v>
      </c>
      <c r="B15" t="s">
        <v>40</v>
      </c>
      <c r="C15" s="11">
        <v>45727</v>
      </c>
      <c r="D15" t="s">
        <v>49</v>
      </c>
      <c r="E15" t="s">
        <v>50</v>
      </c>
      <c r="F15">
        <v>4241</v>
      </c>
      <c r="G15">
        <v>902</v>
      </c>
      <c r="H15">
        <v>47</v>
      </c>
      <c r="I15">
        <v>72097</v>
      </c>
      <c r="J15">
        <v>71598</v>
      </c>
      <c r="K15">
        <v>167</v>
      </c>
      <c r="L15" t="s">
        <v>44</v>
      </c>
      <c r="M15" t="s">
        <v>55</v>
      </c>
      <c r="N15" s="21">
        <v>7.198635172059864E-2</v>
      </c>
    </row>
    <row r="16" spans="1:14" x14ac:dyDescent="0.3">
      <c r="A16" t="s">
        <v>56</v>
      </c>
      <c r="B16" t="s">
        <v>31</v>
      </c>
      <c r="C16" s="11">
        <v>45690</v>
      </c>
      <c r="D16" t="s">
        <v>33</v>
      </c>
      <c r="E16" t="s">
        <v>34</v>
      </c>
      <c r="F16">
        <v>1792</v>
      </c>
      <c r="G16">
        <v>614</v>
      </c>
      <c r="H16">
        <v>497</v>
      </c>
      <c r="I16">
        <v>25088</v>
      </c>
      <c r="J16">
        <v>24675</v>
      </c>
      <c r="K16">
        <v>65</v>
      </c>
      <c r="L16" t="s">
        <v>58</v>
      </c>
      <c r="M16" t="s">
        <v>19</v>
      </c>
      <c r="N16" s="21">
        <v>0.11571269132653061</v>
      </c>
    </row>
    <row r="17" spans="1:14" x14ac:dyDescent="0.3">
      <c r="A17" t="s">
        <v>59</v>
      </c>
      <c r="B17" t="s">
        <v>40</v>
      </c>
      <c r="C17" s="11">
        <v>45494</v>
      </c>
      <c r="D17" t="s">
        <v>16</v>
      </c>
      <c r="E17" t="s">
        <v>17</v>
      </c>
      <c r="F17">
        <v>1946</v>
      </c>
      <c r="G17">
        <v>686</v>
      </c>
      <c r="H17">
        <v>377</v>
      </c>
      <c r="I17">
        <v>23352</v>
      </c>
      <c r="J17">
        <v>22982</v>
      </c>
      <c r="K17">
        <v>213</v>
      </c>
      <c r="L17" t="s">
        <v>58</v>
      </c>
      <c r="M17" t="s">
        <v>38</v>
      </c>
      <c r="N17" s="21">
        <v>0.12885405960945528</v>
      </c>
    </row>
    <row r="18" spans="1:14" x14ac:dyDescent="0.3">
      <c r="A18" t="s">
        <v>59</v>
      </c>
      <c r="B18" t="s">
        <v>40</v>
      </c>
      <c r="C18" s="11">
        <v>45494</v>
      </c>
      <c r="D18" t="s">
        <v>16</v>
      </c>
      <c r="E18" t="s">
        <v>17</v>
      </c>
      <c r="F18">
        <v>1946</v>
      </c>
      <c r="G18">
        <v>686</v>
      </c>
      <c r="H18">
        <v>377</v>
      </c>
      <c r="I18">
        <v>23352</v>
      </c>
      <c r="J18">
        <v>22982</v>
      </c>
      <c r="K18">
        <v>213</v>
      </c>
      <c r="L18" t="s">
        <v>18</v>
      </c>
      <c r="M18" t="s">
        <v>38</v>
      </c>
      <c r="N18" s="21">
        <v>0.12885405960945528</v>
      </c>
    </row>
    <row r="19" spans="1:14" x14ac:dyDescent="0.3">
      <c r="A19" t="s">
        <v>62</v>
      </c>
      <c r="B19" t="s">
        <v>27</v>
      </c>
      <c r="C19" s="11">
        <v>45614</v>
      </c>
      <c r="D19" t="s">
        <v>42</v>
      </c>
      <c r="E19" t="s">
        <v>43</v>
      </c>
      <c r="F19">
        <v>1171</v>
      </c>
      <c r="G19">
        <v>286</v>
      </c>
      <c r="H19">
        <v>231</v>
      </c>
      <c r="I19">
        <v>22249</v>
      </c>
      <c r="J19">
        <v>21282</v>
      </c>
      <c r="K19">
        <v>114</v>
      </c>
      <c r="L19" t="s">
        <v>24</v>
      </c>
      <c r="M19" t="s">
        <v>55</v>
      </c>
      <c r="N19" s="21">
        <v>7.5868578363072495E-2</v>
      </c>
    </row>
    <row r="20" spans="1:14" x14ac:dyDescent="0.3">
      <c r="A20" t="s">
        <v>64</v>
      </c>
      <c r="B20" t="s">
        <v>40</v>
      </c>
      <c r="C20" s="11">
        <v>45704</v>
      </c>
      <c r="D20" t="s">
        <v>33</v>
      </c>
      <c r="E20" t="s">
        <v>34</v>
      </c>
      <c r="F20">
        <v>4242</v>
      </c>
      <c r="G20">
        <v>555</v>
      </c>
      <c r="H20">
        <v>131</v>
      </c>
      <c r="I20">
        <v>33936</v>
      </c>
      <c r="J20">
        <v>33802</v>
      </c>
      <c r="K20">
        <v>265</v>
      </c>
      <c r="L20" t="s">
        <v>18</v>
      </c>
      <c r="M20" t="s">
        <v>38</v>
      </c>
      <c r="N20" s="21">
        <v>0.14521452145214522</v>
      </c>
    </row>
    <row r="21" spans="1:14" x14ac:dyDescent="0.3">
      <c r="A21" t="s">
        <v>64</v>
      </c>
      <c r="B21" t="s">
        <v>40</v>
      </c>
      <c r="C21" s="11">
        <v>45704</v>
      </c>
      <c r="D21" t="s">
        <v>33</v>
      </c>
      <c r="E21" t="s">
        <v>34</v>
      </c>
      <c r="F21">
        <v>4242</v>
      </c>
      <c r="G21">
        <v>555</v>
      </c>
      <c r="H21">
        <v>131</v>
      </c>
      <c r="I21">
        <v>33936</v>
      </c>
      <c r="J21">
        <v>33802</v>
      </c>
      <c r="K21">
        <v>265</v>
      </c>
      <c r="L21" t="s">
        <v>24</v>
      </c>
      <c r="M21" t="s">
        <v>38</v>
      </c>
      <c r="N21" s="21">
        <v>0.14521452145214522</v>
      </c>
    </row>
    <row r="22" spans="1:14" x14ac:dyDescent="0.3">
      <c r="A22" t="s">
        <v>67</v>
      </c>
      <c r="B22" t="s">
        <v>40</v>
      </c>
      <c r="C22" s="11">
        <v>45589</v>
      </c>
      <c r="D22" t="s">
        <v>69</v>
      </c>
      <c r="E22" t="s">
        <v>70</v>
      </c>
      <c r="F22">
        <v>3888</v>
      </c>
      <c r="G22">
        <v>604</v>
      </c>
      <c r="H22">
        <v>128</v>
      </c>
      <c r="I22">
        <v>77760</v>
      </c>
      <c r="J22">
        <v>77167</v>
      </c>
      <c r="K22">
        <v>20</v>
      </c>
      <c r="L22" t="s">
        <v>24</v>
      </c>
      <c r="M22" t="s">
        <v>19</v>
      </c>
      <c r="N22" s="21">
        <v>5.941358024691358E-2</v>
      </c>
    </row>
    <row r="23" spans="1:14" x14ac:dyDescent="0.3">
      <c r="A23" t="s">
        <v>67</v>
      </c>
      <c r="B23" t="s">
        <v>40</v>
      </c>
      <c r="C23" s="11">
        <v>45589</v>
      </c>
      <c r="D23" t="s">
        <v>69</v>
      </c>
      <c r="E23" t="s">
        <v>70</v>
      </c>
      <c r="F23">
        <v>3888</v>
      </c>
      <c r="G23">
        <v>604</v>
      </c>
      <c r="H23">
        <v>128</v>
      </c>
      <c r="I23">
        <v>77760</v>
      </c>
      <c r="J23">
        <v>77167</v>
      </c>
      <c r="K23">
        <v>20</v>
      </c>
      <c r="L23" t="s">
        <v>77</v>
      </c>
      <c r="M23" t="s">
        <v>19</v>
      </c>
      <c r="N23" s="21">
        <v>5.941358024691358E-2</v>
      </c>
    </row>
    <row r="24" spans="1:14" x14ac:dyDescent="0.3">
      <c r="A24" t="s">
        <v>72</v>
      </c>
      <c r="B24" t="s">
        <v>40</v>
      </c>
      <c r="C24" s="11">
        <v>45530</v>
      </c>
      <c r="D24" t="s">
        <v>22</v>
      </c>
      <c r="E24" t="s">
        <v>23</v>
      </c>
      <c r="F24">
        <v>3452</v>
      </c>
      <c r="G24">
        <v>377</v>
      </c>
      <c r="H24">
        <v>360</v>
      </c>
      <c r="I24">
        <v>55232</v>
      </c>
      <c r="J24">
        <v>55075</v>
      </c>
      <c r="K24">
        <v>87</v>
      </c>
      <c r="L24" t="s">
        <v>18</v>
      </c>
      <c r="M24" t="s">
        <v>38</v>
      </c>
      <c r="N24" s="21">
        <v>7.5843713789107758E-2</v>
      </c>
    </row>
    <row r="25" spans="1:14" x14ac:dyDescent="0.3">
      <c r="A25" t="s">
        <v>72</v>
      </c>
      <c r="B25" t="s">
        <v>40</v>
      </c>
      <c r="C25" s="11">
        <v>45530</v>
      </c>
      <c r="D25" t="s">
        <v>22</v>
      </c>
      <c r="E25" t="s">
        <v>23</v>
      </c>
      <c r="F25">
        <v>3452</v>
      </c>
      <c r="G25">
        <v>377</v>
      </c>
      <c r="H25">
        <v>360</v>
      </c>
      <c r="I25">
        <v>55232</v>
      </c>
      <c r="J25">
        <v>55075</v>
      </c>
      <c r="K25">
        <v>87</v>
      </c>
      <c r="L25" t="s">
        <v>77</v>
      </c>
      <c r="M25" t="s">
        <v>38</v>
      </c>
      <c r="N25" s="21">
        <v>7.5843713789107758E-2</v>
      </c>
    </row>
    <row r="26" spans="1:14" x14ac:dyDescent="0.3">
      <c r="A26" t="s">
        <v>75</v>
      </c>
      <c r="B26" t="s">
        <v>40</v>
      </c>
      <c r="C26" s="11">
        <v>45782</v>
      </c>
      <c r="D26" t="s">
        <v>22</v>
      </c>
      <c r="E26" t="s">
        <v>23</v>
      </c>
      <c r="F26">
        <v>4441</v>
      </c>
      <c r="G26">
        <v>511</v>
      </c>
      <c r="H26">
        <v>70</v>
      </c>
      <c r="I26">
        <v>53292</v>
      </c>
      <c r="J26">
        <v>53082</v>
      </c>
      <c r="K26">
        <v>159</v>
      </c>
      <c r="L26" t="s">
        <v>77</v>
      </c>
      <c r="M26" t="s">
        <v>38</v>
      </c>
      <c r="N26" s="21">
        <v>9.4235532537716729E-2</v>
      </c>
    </row>
    <row r="27" spans="1:14" x14ac:dyDescent="0.3">
      <c r="A27" t="s">
        <v>78</v>
      </c>
      <c r="B27" t="s">
        <v>31</v>
      </c>
      <c r="C27" s="11">
        <v>45523</v>
      </c>
      <c r="D27" t="s">
        <v>16</v>
      </c>
      <c r="E27" t="s">
        <v>17</v>
      </c>
      <c r="F27">
        <v>3000</v>
      </c>
      <c r="G27">
        <v>382</v>
      </c>
      <c r="H27">
        <v>325</v>
      </c>
      <c r="I27">
        <v>36000</v>
      </c>
      <c r="J27">
        <v>35819</v>
      </c>
      <c r="K27">
        <v>19</v>
      </c>
      <c r="L27" t="s">
        <v>58</v>
      </c>
      <c r="M27" t="s">
        <v>25</v>
      </c>
      <c r="N27" s="21">
        <v>0.10297222222222223</v>
      </c>
    </row>
    <row r="28" spans="1:14" x14ac:dyDescent="0.3">
      <c r="A28" t="s">
        <v>80</v>
      </c>
      <c r="B28" t="s">
        <v>31</v>
      </c>
      <c r="C28" s="11">
        <v>45466</v>
      </c>
      <c r="D28" t="s">
        <v>69</v>
      </c>
      <c r="E28" t="s">
        <v>70</v>
      </c>
      <c r="F28">
        <v>1071</v>
      </c>
      <c r="G28">
        <v>519</v>
      </c>
      <c r="H28">
        <v>22</v>
      </c>
      <c r="I28">
        <v>16065</v>
      </c>
      <c r="J28">
        <v>15865</v>
      </c>
      <c r="K28">
        <v>103</v>
      </c>
      <c r="L28" t="s">
        <v>18</v>
      </c>
      <c r="M28" t="s">
        <v>38</v>
      </c>
      <c r="N28" s="21">
        <v>0.10034235916588857</v>
      </c>
    </row>
    <row r="29" spans="1:14" x14ac:dyDescent="0.3">
      <c r="A29" t="s">
        <v>80</v>
      </c>
      <c r="B29" t="s">
        <v>31</v>
      </c>
      <c r="C29" s="11">
        <v>45466</v>
      </c>
      <c r="D29" t="s">
        <v>69</v>
      </c>
      <c r="E29" t="s">
        <v>70</v>
      </c>
      <c r="F29">
        <v>1071</v>
      </c>
      <c r="G29">
        <v>519</v>
      </c>
      <c r="H29">
        <v>22</v>
      </c>
      <c r="I29">
        <v>16065</v>
      </c>
      <c r="J29">
        <v>15865</v>
      </c>
      <c r="K29">
        <v>103</v>
      </c>
      <c r="L29" t="s">
        <v>58</v>
      </c>
      <c r="M29" t="s">
        <v>38</v>
      </c>
      <c r="N29" s="21">
        <v>0.10034235916588857</v>
      </c>
    </row>
    <row r="30" spans="1:14" x14ac:dyDescent="0.3">
      <c r="A30" t="s">
        <v>83</v>
      </c>
      <c r="B30" t="s">
        <v>31</v>
      </c>
      <c r="C30" s="11">
        <v>45544</v>
      </c>
      <c r="D30" t="s">
        <v>42</v>
      </c>
      <c r="E30" t="s">
        <v>43</v>
      </c>
      <c r="F30">
        <v>4054</v>
      </c>
      <c r="G30">
        <v>488</v>
      </c>
      <c r="H30">
        <v>373</v>
      </c>
      <c r="I30">
        <v>77026</v>
      </c>
      <c r="J30">
        <v>76881</v>
      </c>
      <c r="K30">
        <v>25</v>
      </c>
      <c r="L30" t="s">
        <v>24</v>
      </c>
      <c r="M30" t="s">
        <v>38</v>
      </c>
      <c r="N30" s="21">
        <v>6.3809622724794221E-2</v>
      </c>
    </row>
    <row r="31" spans="1:14" x14ac:dyDescent="0.3">
      <c r="A31" t="s">
        <v>83</v>
      </c>
      <c r="B31" t="s">
        <v>31</v>
      </c>
      <c r="C31" s="11">
        <v>45544</v>
      </c>
      <c r="D31" t="s">
        <v>42</v>
      </c>
      <c r="E31" t="s">
        <v>43</v>
      </c>
      <c r="F31">
        <v>4054</v>
      </c>
      <c r="G31">
        <v>488</v>
      </c>
      <c r="H31">
        <v>373</v>
      </c>
      <c r="I31">
        <v>77026</v>
      </c>
      <c r="J31">
        <v>76881</v>
      </c>
      <c r="K31">
        <v>25</v>
      </c>
      <c r="L31" t="s">
        <v>18</v>
      </c>
      <c r="M31" t="s">
        <v>38</v>
      </c>
      <c r="N31" s="21">
        <v>6.3809622724794221E-2</v>
      </c>
    </row>
    <row r="32" spans="1:14" x14ac:dyDescent="0.3">
      <c r="A32" t="s">
        <v>85</v>
      </c>
      <c r="B32" t="s">
        <v>31</v>
      </c>
      <c r="C32" s="11">
        <v>45661</v>
      </c>
      <c r="D32" t="s">
        <v>16</v>
      </c>
      <c r="E32" t="s">
        <v>17</v>
      </c>
      <c r="F32">
        <v>4838</v>
      </c>
      <c r="G32">
        <v>640</v>
      </c>
      <c r="H32">
        <v>128</v>
      </c>
      <c r="I32">
        <v>72570</v>
      </c>
      <c r="J32">
        <v>72396</v>
      </c>
      <c r="K32">
        <v>83</v>
      </c>
      <c r="L32" t="s">
        <v>58</v>
      </c>
      <c r="M32" t="s">
        <v>38</v>
      </c>
      <c r="N32" s="21">
        <v>7.7249552156538517E-2</v>
      </c>
    </row>
    <row r="33" spans="1:14" x14ac:dyDescent="0.3">
      <c r="A33" t="s">
        <v>85</v>
      </c>
      <c r="B33" t="s">
        <v>31</v>
      </c>
      <c r="C33" s="11">
        <v>45661</v>
      </c>
      <c r="D33" t="s">
        <v>16</v>
      </c>
      <c r="E33" t="s">
        <v>17</v>
      </c>
      <c r="F33">
        <v>4838</v>
      </c>
      <c r="G33">
        <v>640</v>
      </c>
      <c r="H33">
        <v>128</v>
      </c>
      <c r="I33">
        <v>72570</v>
      </c>
      <c r="J33">
        <v>72396</v>
      </c>
      <c r="K33">
        <v>83</v>
      </c>
      <c r="L33" t="s">
        <v>44</v>
      </c>
      <c r="M33" t="s">
        <v>38</v>
      </c>
      <c r="N33" s="21">
        <v>7.7249552156538517E-2</v>
      </c>
    </row>
    <row r="34" spans="1:14" x14ac:dyDescent="0.3">
      <c r="A34" t="s">
        <v>88</v>
      </c>
      <c r="B34" t="s">
        <v>40</v>
      </c>
      <c r="C34" s="11">
        <v>45715</v>
      </c>
      <c r="D34" t="s">
        <v>22</v>
      </c>
      <c r="E34" t="s">
        <v>23</v>
      </c>
      <c r="F34">
        <v>1570</v>
      </c>
      <c r="G34">
        <v>187</v>
      </c>
      <c r="H34">
        <v>260</v>
      </c>
      <c r="I34">
        <v>25120</v>
      </c>
      <c r="J34">
        <v>24613</v>
      </c>
      <c r="K34">
        <v>133</v>
      </c>
      <c r="L34" t="s">
        <v>18</v>
      </c>
      <c r="M34" t="s">
        <v>55</v>
      </c>
      <c r="N34" s="21">
        <v>8.0294585987261149E-2</v>
      </c>
    </row>
    <row r="35" spans="1:14" x14ac:dyDescent="0.3">
      <c r="A35" t="s">
        <v>90</v>
      </c>
      <c r="B35" t="s">
        <v>40</v>
      </c>
      <c r="C35" s="11">
        <v>45602</v>
      </c>
      <c r="D35" t="s">
        <v>69</v>
      </c>
      <c r="E35" t="s">
        <v>70</v>
      </c>
      <c r="F35">
        <v>1606</v>
      </c>
      <c r="G35">
        <v>547</v>
      </c>
      <c r="H35">
        <v>316</v>
      </c>
      <c r="I35">
        <v>32120</v>
      </c>
      <c r="J35">
        <v>31736</v>
      </c>
      <c r="K35">
        <v>225</v>
      </c>
      <c r="L35" t="s">
        <v>18</v>
      </c>
      <c r="M35" t="s">
        <v>38</v>
      </c>
      <c r="N35" s="21">
        <v>7.6867995018679955E-2</v>
      </c>
    </row>
    <row r="36" spans="1:14" x14ac:dyDescent="0.3">
      <c r="A36" t="s">
        <v>92</v>
      </c>
      <c r="B36" t="s">
        <v>40</v>
      </c>
      <c r="C36" s="11">
        <v>45680</v>
      </c>
      <c r="D36" t="s">
        <v>69</v>
      </c>
      <c r="E36" t="s">
        <v>70</v>
      </c>
      <c r="F36">
        <v>3961</v>
      </c>
      <c r="G36">
        <v>761</v>
      </c>
      <c r="H36">
        <v>131</v>
      </c>
      <c r="I36">
        <v>67337</v>
      </c>
      <c r="J36">
        <v>66615</v>
      </c>
      <c r="K36">
        <v>161</v>
      </c>
      <c r="L36" t="s">
        <v>44</v>
      </c>
      <c r="M36" t="s">
        <v>25</v>
      </c>
      <c r="N36" s="21">
        <v>7.2070332803659209E-2</v>
      </c>
    </row>
    <row r="37" spans="1:14" x14ac:dyDescent="0.3">
      <c r="A37" t="s">
        <v>94</v>
      </c>
      <c r="B37" t="s">
        <v>14</v>
      </c>
      <c r="C37" s="11">
        <v>45757</v>
      </c>
      <c r="D37" t="s">
        <v>42</v>
      </c>
      <c r="E37" t="s">
        <v>43</v>
      </c>
      <c r="F37">
        <v>3128</v>
      </c>
      <c r="G37">
        <v>211</v>
      </c>
      <c r="H37">
        <v>197</v>
      </c>
      <c r="I37">
        <v>59432</v>
      </c>
      <c r="J37">
        <v>59182</v>
      </c>
      <c r="K37">
        <v>238</v>
      </c>
      <c r="L37" t="s">
        <v>58</v>
      </c>
      <c r="M37" t="s">
        <v>19</v>
      </c>
      <c r="N37" s="21">
        <v>5.9496567505720827E-2</v>
      </c>
    </row>
    <row r="38" spans="1:14" x14ac:dyDescent="0.3">
      <c r="A38" t="s">
        <v>94</v>
      </c>
      <c r="B38" t="s">
        <v>14</v>
      </c>
      <c r="C38" s="11">
        <v>45757</v>
      </c>
      <c r="D38" t="s">
        <v>42</v>
      </c>
      <c r="E38" t="s">
        <v>43</v>
      </c>
      <c r="F38">
        <v>3128</v>
      </c>
      <c r="G38">
        <v>211</v>
      </c>
      <c r="H38">
        <v>197</v>
      </c>
      <c r="I38">
        <v>59432</v>
      </c>
      <c r="J38">
        <v>59182</v>
      </c>
      <c r="K38">
        <v>238</v>
      </c>
      <c r="L38" t="s">
        <v>18</v>
      </c>
      <c r="M38" t="s">
        <v>19</v>
      </c>
      <c r="N38" s="21">
        <v>5.9496567505720827E-2</v>
      </c>
    </row>
    <row r="39" spans="1:14" x14ac:dyDescent="0.3">
      <c r="A39" t="s">
        <v>96</v>
      </c>
      <c r="B39" t="s">
        <v>27</v>
      </c>
      <c r="C39" s="11">
        <v>45752</v>
      </c>
      <c r="D39" t="s">
        <v>16</v>
      </c>
      <c r="E39" t="s">
        <v>17</v>
      </c>
      <c r="F39">
        <v>3009</v>
      </c>
      <c r="G39">
        <v>413</v>
      </c>
      <c r="H39">
        <v>358</v>
      </c>
      <c r="I39">
        <v>42126</v>
      </c>
      <c r="J39">
        <v>41309</v>
      </c>
      <c r="K39">
        <v>211</v>
      </c>
      <c r="L39" t="s">
        <v>18</v>
      </c>
      <c r="M39" t="s">
        <v>25</v>
      </c>
      <c r="N39" s="21">
        <v>8.9730807577268201E-2</v>
      </c>
    </row>
    <row r="40" spans="1:14" x14ac:dyDescent="0.3">
      <c r="A40" t="s">
        <v>98</v>
      </c>
      <c r="B40" t="s">
        <v>27</v>
      </c>
      <c r="C40" s="11">
        <v>45552</v>
      </c>
      <c r="D40" t="s">
        <v>22</v>
      </c>
      <c r="E40" t="s">
        <v>23</v>
      </c>
      <c r="F40">
        <v>2076</v>
      </c>
      <c r="G40">
        <v>195</v>
      </c>
      <c r="H40">
        <v>104</v>
      </c>
      <c r="I40">
        <v>33216</v>
      </c>
      <c r="J40">
        <v>32244</v>
      </c>
      <c r="K40">
        <v>51</v>
      </c>
      <c r="L40" t="s">
        <v>44</v>
      </c>
      <c r="M40" t="s">
        <v>55</v>
      </c>
      <c r="N40" s="21">
        <v>7.1501685934489398E-2</v>
      </c>
    </row>
    <row r="41" spans="1:14" x14ac:dyDescent="0.3">
      <c r="A41" t="s">
        <v>100</v>
      </c>
      <c r="B41" t="s">
        <v>31</v>
      </c>
      <c r="C41" s="11">
        <v>45720</v>
      </c>
      <c r="D41" t="s">
        <v>69</v>
      </c>
      <c r="E41" t="s">
        <v>70</v>
      </c>
      <c r="F41">
        <v>432</v>
      </c>
      <c r="G41">
        <v>624</v>
      </c>
      <c r="H41">
        <v>123</v>
      </c>
      <c r="I41">
        <v>6912</v>
      </c>
      <c r="J41">
        <v>6259</v>
      </c>
      <c r="K41">
        <v>79</v>
      </c>
      <c r="L41" t="s">
        <v>18</v>
      </c>
      <c r="M41" t="s">
        <v>25</v>
      </c>
      <c r="N41" s="21">
        <v>0.17057291666666666</v>
      </c>
    </row>
    <row r="42" spans="1:14" x14ac:dyDescent="0.3">
      <c r="A42" t="s">
        <v>100</v>
      </c>
      <c r="B42" t="s">
        <v>31</v>
      </c>
      <c r="C42" s="11">
        <v>45720</v>
      </c>
      <c r="D42" t="s">
        <v>69</v>
      </c>
      <c r="E42" t="s">
        <v>70</v>
      </c>
      <c r="F42">
        <v>432</v>
      </c>
      <c r="G42">
        <v>624</v>
      </c>
      <c r="H42">
        <v>123</v>
      </c>
      <c r="I42">
        <v>6912</v>
      </c>
      <c r="J42">
        <v>6259</v>
      </c>
      <c r="K42">
        <v>79</v>
      </c>
      <c r="L42" t="s">
        <v>44</v>
      </c>
      <c r="M42" t="s">
        <v>25</v>
      </c>
      <c r="N42" s="21">
        <v>0.17057291666666666</v>
      </c>
    </row>
    <row r="43" spans="1:14" x14ac:dyDescent="0.3">
      <c r="A43" t="s">
        <v>103</v>
      </c>
      <c r="B43" t="s">
        <v>31</v>
      </c>
      <c r="C43" s="11">
        <v>45688</v>
      </c>
      <c r="D43" t="s">
        <v>42</v>
      </c>
      <c r="E43" t="s">
        <v>43</v>
      </c>
      <c r="F43">
        <v>2566</v>
      </c>
      <c r="G43">
        <v>118</v>
      </c>
      <c r="H43">
        <v>37</v>
      </c>
      <c r="I43">
        <v>12830</v>
      </c>
      <c r="J43">
        <v>12264</v>
      </c>
      <c r="K43">
        <v>221</v>
      </c>
      <c r="L43" t="s">
        <v>44</v>
      </c>
      <c r="M43" t="s">
        <v>38</v>
      </c>
      <c r="N43" s="21">
        <v>0.21208106001558846</v>
      </c>
    </row>
    <row r="44" spans="1:14" x14ac:dyDescent="0.3">
      <c r="A44" t="s">
        <v>103</v>
      </c>
      <c r="B44" t="s">
        <v>31</v>
      </c>
      <c r="C44" s="11">
        <v>45688</v>
      </c>
      <c r="D44" t="s">
        <v>42</v>
      </c>
      <c r="E44" t="s">
        <v>43</v>
      </c>
      <c r="F44">
        <v>2566</v>
      </c>
      <c r="G44">
        <v>118</v>
      </c>
      <c r="H44">
        <v>37</v>
      </c>
      <c r="I44">
        <v>12830</v>
      </c>
      <c r="J44">
        <v>12264</v>
      </c>
      <c r="K44">
        <v>221</v>
      </c>
      <c r="L44" t="s">
        <v>24</v>
      </c>
      <c r="M44" t="s">
        <v>38</v>
      </c>
      <c r="N44" s="21">
        <v>0.21208106001558846</v>
      </c>
    </row>
    <row r="45" spans="1:14" x14ac:dyDescent="0.3">
      <c r="A45" t="s">
        <v>106</v>
      </c>
      <c r="B45" t="s">
        <v>31</v>
      </c>
      <c r="C45" s="11">
        <v>45713</v>
      </c>
      <c r="D45" t="s">
        <v>69</v>
      </c>
      <c r="E45" t="s">
        <v>70</v>
      </c>
      <c r="F45">
        <v>3095</v>
      </c>
      <c r="G45">
        <v>39</v>
      </c>
      <c r="H45">
        <v>78</v>
      </c>
      <c r="I45">
        <v>55710</v>
      </c>
      <c r="J45">
        <v>54808</v>
      </c>
      <c r="K45">
        <v>93</v>
      </c>
      <c r="L45" t="s">
        <v>18</v>
      </c>
      <c r="M45" t="s">
        <v>55</v>
      </c>
      <c r="N45" s="21">
        <v>5.7655717106444085E-2</v>
      </c>
    </row>
    <row r="46" spans="1:14" x14ac:dyDescent="0.3">
      <c r="A46" t="s">
        <v>108</v>
      </c>
      <c r="B46" t="s">
        <v>31</v>
      </c>
      <c r="C46" s="11">
        <v>45642</v>
      </c>
      <c r="D46" t="s">
        <v>22</v>
      </c>
      <c r="E46" t="s">
        <v>23</v>
      </c>
      <c r="F46">
        <v>438</v>
      </c>
      <c r="G46">
        <v>153</v>
      </c>
      <c r="H46">
        <v>275</v>
      </c>
      <c r="I46">
        <v>3066</v>
      </c>
      <c r="J46">
        <v>2701</v>
      </c>
      <c r="K46">
        <v>282</v>
      </c>
      <c r="L46" t="s">
        <v>44</v>
      </c>
      <c r="M46" t="s">
        <v>55</v>
      </c>
      <c r="N46" s="21">
        <v>0.28245270711024134</v>
      </c>
    </row>
    <row r="47" spans="1:14" x14ac:dyDescent="0.3">
      <c r="A47" t="s">
        <v>110</v>
      </c>
      <c r="B47" t="s">
        <v>14</v>
      </c>
      <c r="C47" s="11">
        <v>45504</v>
      </c>
      <c r="D47" t="s">
        <v>42</v>
      </c>
      <c r="E47" t="s">
        <v>43</v>
      </c>
      <c r="F47">
        <v>2278</v>
      </c>
      <c r="G47">
        <v>10</v>
      </c>
      <c r="H47">
        <v>321</v>
      </c>
      <c r="I47">
        <v>13668</v>
      </c>
      <c r="J47">
        <v>12676</v>
      </c>
      <c r="K47">
        <v>275</v>
      </c>
      <c r="L47" t="s">
        <v>44</v>
      </c>
      <c r="M47" t="s">
        <v>55</v>
      </c>
      <c r="N47" s="21">
        <v>0.19088381621305239</v>
      </c>
    </row>
    <row r="48" spans="1:14" x14ac:dyDescent="0.3">
      <c r="A48" t="s">
        <v>110</v>
      </c>
      <c r="B48" t="s">
        <v>14</v>
      </c>
      <c r="C48" s="11">
        <v>45504</v>
      </c>
      <c r="D48" t="s">
        <v>42</v>
      </c>
      <c r="E48" t="s">
        <v>43</v>
      </c>
      <c r="F48">
        <v>2278</v>
      </c>
      <c r="G48">
        <v>10</v>
      </c>
      <c r="H48">
        <v>321</v>
      </c>
      <c r="I48">
        <v>13668</v>
      </c>
      <c r="J48">
        <v>12676</v>
      </c>
      <c r="K48">
        <v>275</v>
      </c>
      <c r="L48" t="s">
        <v>24</v>
      </c>
      <c r="M48" t="s">
        <v>55</v>
      </c>
      <c r="N48" s="21">
        <v>0.19088381621305239</v>
      </c>
    </row>
    <row r="49" spans="1:14" x14ac:dyDescent="0.3">
      <c r="A49" t="s">
        <v>112</v>
      </c>
      <c r="B49" t="s">
        <v>40</v>
      </c>
      <c r="C49" s="11">
        <v>45525</v>
      </c>
      <c r="D49" t="s">
        <v>49</v>
      </c>
      <c r="E49" t="s">
        <v>50</v>
      </c>
      <c r="F49">
        <v>1407</v>
      </c>
      <c r="G49">
        <v>400</v>
      </c>
      <c r="H49">
        <v>351</v>
      </c>
      <c r="I49">
        <v>16884</v>
      </c>
      <c r="J49">
        <v>15954</v>
      </c>
      <c r="K49">
        <v>113</v>
      </c>
      <c r="L49" t="s">
        <v>24</v>
      </c>
      <c r="M49" t="s">
        <v>38</v>
      </c>
      <c r="N49" s="21">
        <v>0.12781331438047855</v>
      </c>
    </row>
    <row r="50" spans="1:14" x14ac:dyDescent="0.3">
      <c r="A50" t="s">
        <v>112</v>
      </c>
      <c r="B50" t="s">
        <v>40</v>
      </c>
      <c r="C50" s="11">
        <v>45525</v>
      </c>
      <c r="D50" t="s">
        <v>49</v>
      </c>
      <c r="E50" t="s">
        <v>50</v>
      </c>
      <c r="F50">
        <v>1407</v>
      </c>
      <c r="G50">
        <v>400</v>
      </c>
      <c r="H50">
        <v>351</v>
      </c>
      <c r="I50">
        <v>16884</v>
      </c>
      <c r="J50">
        <v>15954</v>
      </c>
      <c r="K50">
        <v>113</v>
      </c>
      <c r="L50" t="s">
        <v>77</v>
      </c>
      <c r="M50" t="s">
        <v>38</v>
      </c>
      <c r="N50" s="21">
        <v>0.12781331438047855</v>
      </c>
    </row>
    <row r="51" spans="1:14" x14ac:dyDescent="0.3">
      <c r="A51" t="s">
        <v>114</v>
      </c>
      <c r="B51" t="s">
        <v>40</v>
      </c>
      <c r="C51" s="11">
        <v>45742</v>
      </c>
      <c r="D51" t="s">
        <v>22</v>
      </c>
      <c r="E51" t="s">
        <v>23</v>
      </c>
      <c r="F51">
        <v>1652</v>
      </c>
      <c r="G51">
        <v>89</v>
      </c>
      <c r="H51">
        <v>357</v>
      </c>
      <c r="I51">
        <v>29736</v>
      </c>
      <c r="J51">
        <v>28771</v>
      </c>
      <c r="K51">
        <v>215</v>
      </c>
      <c r="L51" t="s">
        <v>44</v>
      </c>
      <c r="M51" t="s">
        <v>25</v>
      </c>
      <c r="N51" s="21">
        <v>7.055421038471886E-2</v>
      </c>
    </row>
    <row r="52" spans="1:14" x14ac:dyDescent="0.3">
      <c r="A52" t="s">
        <v>114</v>
      </c>
      <c r="B52" t="s">
        <v>40</v>
      </c>
      <c r="C52" s="11">
        <v>45742</v>
      </c>
      <c r="D52" t="s">
        <v>22</v>
      </c>
      <c r="E52" t="s">
        <v>23</v>
      </c>
      <c r="F52">
        <v>1652</v>
      </c>
      <c r="G52">
        <v>89</v>
      </c>
      <c r="H52">
        <v>357</v>
      </c>
      <c r="I52">
        <v>29736</v>
      </c>
      <c r="J52">
        <v>28771</v>
      </c>
      <c r="K52">
        <v>215</v>
      </c>
      <c r="L52" t="s">
        <v>77</v>
      </c>
      <c r="M52" t="s">
        <v>25</v>
      </c>
      <c r="N52" s="21">
        <v>7.055421038471886E-2</v>
      </c>
    </row>
    <row r="53" spans="1:14" x14ac:dyDescent="0.3">
      <c r="A53" t="s">
        <v>117</v>
      </c>
      <c r="B53" t="s">
        <v>31</v>
      </c>
      <c r="C53" s="11">
        <v>45626</v>
      </c>
      <c r="D53" t="s">
        <v>69</v>
      </c>
      <c r="E53" t="s">
        <v>70</v>
      </c>
      <c r="F53">
        <v>3775</v>
      </c>
      <c r="G53">
        <v>16</v>
      </c>
      <c r="H53">
        <v>239</v>
      </c>
      <c r="I53">
        <v>33975</v>
      </c>
      <c r="J53">
        <v>33310</v>
      </c>
      <c r="K53">
        <v>271</v>
      </c>
      <c r="L53" t="s">
        <v>58</v>
      </c>
      <c r="M53" t="s">
        <v>38</v>
      </c>
      <c r="N53" s="21">
        <v>0.11861662987490802</v>
      </c>
    </row>
    <row r="54" spans="1:14" x14ac:dyDescent="0.3">
      <c r="A54" t="s">
        <v>117</v>
      </c>
      <c r="B54" t="s">
        <v>31</v>
      </c>
      <c r="C54" s="11">
        <v>45626</v>
      </c>
      <c r="D54" t="s">
        <v>69</v>
      </c>
      <c r="E54" t="s">
        <v>70</v>
      </c>
      <c r="F54">
        <v>3775</v>
      </c>
      <c r="G54">
        <v>16</v>
      </c>
      <c r="H54">
        <v>239</v>
      </c>
      <c r="I54">
        <v>33975</v>
      </c>
      <c r="J54">
        <v>33310</v>
      </c>
      <c r="K54">
        <v>271</v>
      </c>
      <c r="L54" t="s">
        <v>18</v>
      </c>
      <c r="M54" t="s">
        <v>38</v>
      </c>
      <c r="N54" s="21">
        <v>0.11861662987490802</v>
      </c>
    </row>
    <row r="55" spans="1:14" x14ac:dyDescent="0.3">
      <c r="A55" t="s">
        <v>119</v>
      </c>
      <c r="B55" t="s">
        <v>31</v>
      </c>
      <c r="C55" s="11">
        <v>45766</v>
      </c>
      <c r="D55" t="s">
        <v>33</v>
      </c>
      <c r="E55" t="s">
        <v>34</v>
      </c>
      <c r="F55">
        <v>4518</v>
      </c>
      <c r="G55">
        <v>285</v>
      </c>
      <c r="H55">
        <v>383</v>
      </c>
      <c r="I55">
        <v>67770</v>
      </c>
      <c r="J55">
        <v>67621</v>
      </c>
      <c r="K55">
        <v>31</v>
      </c>
      <c r="L55" t="s">
        <v>77</v>
      </c>
      <c r="M55" t="s">
        <v>25</v>
      </c>
      <c r="N55" s="21">
        <v>7.6523535487678915E-2</v>
      </c>
    </row>
    <row r="56" spans="1:14" x14ac:dyDescent="0.3">
      <c r="A56" t="s">
        <v>121</v>
      </c>
      <c r="B56" t="s">
        <v>40</v>
      </c>
      <c r="C56" s="11">
        <v>45663</v>
      </c>
      <c r="D56" t="s">
        <v>42</v>
      </c>
      <c r="E56" t="s">
        <v>43</v>
      </c>
      <c r="F56">
        <v>3024</v>
      </c>
      <c r="G56">
        <v>925</v>
      </c>
      <c r="H56">
        <v>350</v>
      </c>
      <c r="I56">
        <v>24192</v>
      </c>
      <c r="J56">
        <v>23518</v>
      </c>
      <c r="K56">
        <v>36</v>
      </c>
      <c r="L56" t="s">
        <v>18</v>
      </c>
      <c r="M56" t="s">
        <v>38</v>
      </c>
      <c r="N56" s="21">
        <v>0.17770337301587302</v>
      </c>
    </row>
    <row r="57" spans="1:14" x14ac:dyDescent="0.3">
      <c r="A57" t="s">
        <v>123</v>
      </c>
      <c r="B57" t="s">
        <v>27</v>
      </c>
      <c r="C57" s="11">
        <v>45705</v>
      </c>
      <c r="D57" t="s">
        <v>16</v>
      </c>
      <c r="E57" t="s">
        <v>17</v>
      </c>
      <c r="F57">
        <v>3138</v>
      </c>
      <c r="G57">
        <v>123</v>
      </c>
      <c r="H57">
        <v>291</v>
      </c>
      <c r="I57">
        <v>28242</v>
      </c>
      <c r="J57">
        <v>27550</v>
      </c>
      <c r="K57">
        <v>87</v>
      </c>
      <c r="L57" t="s">
        <v>77</v>
      </c>
      <c r="M57" t="s">
        <v>55</v>
      </c>
      <c r="N57" s="21">
        <v>0.12577012959422137</v>
      </c>
    </row>
    <row r="58" spans="1:14" x14ac:dyDescent="0.3">
      <c r="A58" t="s">
        <v>125</v>
      </c>
      <c r="B58" t="s">
        <v>40</v>
      </c>
      <c r="C58" s="11">
        <v>45621</v>
      </c>
      <c r="D58" t="s">
        <v>49</v>
      </c>
      <c r="E58" t="s">
        <v>50</v>
      </c>
      <c r="F58">
        <v>3564</v>
      </c>
      <c r="G58">
        <v>629</v>
      </c>
      <c r="H58">
        <v>177</v>
      </c>
      <c r="I58">
        <v>60588</v>
      </c>
      <c r="J58">
        <v>59627</v>
      </c>
      <c r="K58">
        <v>92</v>
      </c>
      <c r="L58" t="s">
        <v>77</v>
      </c>
      <c r="M58" t="s">
        <v>38</v>
      </c>
      <c r="N58" s="21">
        <v>7.2126493695121141E-2</v>
      </c>
    </row>
    <row r="59" spans="1:14" x14ac:dyDescent="0.3">
      <c r="A59" t="s">
        <v>125</v>
      </c>
      <c r="B59" t="s">
        <v>40</v>
      </c>
      <c r="C59" s="11">
        <v>45621</v>
      </c>
      <c r="D59" t="s">
        <v>49</v>
      </c>
      <c r="E59" t="s">
        <v>50</v>
      </c>
      <c r="F59">
        <v>3564</v>
      </c>
      <c r="G59">
        <v>629</v>
      </c>
      <c r="H59">
        <v>177</v>
      </c>
      <c r="I59">
        <v>60588</v>
      </c>
      <c r="J59">
        <v>59627</v>
      </c>
      <c r="K59">
        <v>92</v>
      </c>
      <c r="L59" t="s">
        <v>18</v>
      </c>
      <c r="M59" t="s">
        <v>38</v>
      </c>
      <c r="N59" s="21">
        <v>7.2126493695121141E-2</v>
      </c>
    </row>
    <row r="60" spans="1:14" x14ac:dyDescent="0.3">
      <c r="A60" t="s">
        <v>128</v>
      </c>
      <c r="B60" t="s">
        <v>14</v>
      </c>
      <c r="C60" s="11">
        <v>45723</v>
      </c>
      <c r="D60" t="s">
        <v>49</v>
      </c>
      <c r="E60" t="s">
        <v>50</v>
      </c>
      <c r="F60">
        <v>4750</v>
      </c>
      <c r="G60">
        <v>151</v>
      </c>
      <c r="H60">
        <v>415</v>
      </c>
      <c r="I60">
        <v>38000</v>
      </c>
      <c r="J60">
        <v>37792</v>
      </c>
      <c r="K60">
        <v>299</v>
      </c>
      <c r="L60" t="s">
        <v>58</v>
      </c>
      <c r="M60" t="s">
        <v>25</v>
      </c>
      <c r="N60" s="21">
        <v>0.13989473684210527</v>
      </c>
    </row>
    <row r="61" spans="1:14" x14ac:dyDescent="0.3">
      <c r="A61" t="s">
        <v>128</v>
      </c>
      <c r="B61" t="s">
        <v>14</v>
      </c>
      <c r="C61" s="11">
        <v>45723</v>
      </c>
      <c r="D61" t="s">
        <v>49</v>
      </c>
      <c r="E61" t="s">
        <v>50</v>
      </c>
      <c r="F61">
        <v>4750</v>
      </c>
      <c r="G61">
        <v>151</v>
      </c>
      <c r="H61">
        <v>415</v>
      </c>
      <c r="I61">
        <v>38000</v>
      </c>
      <c r="J61">
        <v>37792</v>
      </c>
      <c r="K61">
        <v>299</v>
      </c>
      <c r="L61" t="s">
        <v>18</v>
      </c>
      <c r="M61" t="s">
        <v>25</v>
      </c>
      <c r="N61" s="21">
        <v>0.13989473684210527</v>
      </c>
    </row>
    <row r="62" spans="1:14" x14ac:dyDescent="0.3">
      <c r="A62" t="s">
        <v>130</v>
      </c>
      <c r="B62" t="s">
        <v>31</v>
      </c>
      <c r="C62" s="11">
        <v>45724</v>
      </c>
      <c r="D62" t="s">
        <v>16</v>
      </c>
      <c r="E62" t="s">
        <v>17</v>
      </c>
      <c r="F62">
        <v>456</v>
      </c>
      <c r="G62">
        <v>629</v>
      </c>
      <c r="H62">
        <v>428</v>
      </c>
      <c r="I62">
        <v>8208</v>
      </c>
      <c r="J62">
        <v>7377</v>
      </c>
      <c r="K62">
        <v>205</v>
      </c>
      <c r="L62" t="s">
        <v>18</v>
      </c>
      <c r="M62" t="s">
        <v>38</v>
      </c>
      <c r="N62" s="21">
        <v>0.18433235867446393</v>
      </c>
    </row>
    <row r="63" spans="1:14" x14ac:dyDescent="0.3">
      <c r="A63" t="s">
        <v>130</v>
      </c>
      <c r="B63" t="s">
        <v>31</v>
      </c>
      <c r="C63" s="11">
        <v>45724</v>
      </c>
      <c r="D63" t="s">
        <v>16</v>
      </c>
      <c r="E63" t="s">
        <v>17</v>
      </c>
      <c r="F63">
        <v>456</v>
      </c>
      <c r="G63">
        <v>629</v>
      </c>
      <c r="H63">
        <v>428</v>
      </c>
      <c r="I63">
        <v>8208</v>
      </c>
      <c r="J63">
        <v>7377</v>
      </c>
      <c r="K63">
        <v>205</v>
      </c>
      <c r="L63" t="s">
        <v>77</v>
      </c>
      <c r="M63" t="s">
        <v>38</v>
      </c>
      <c r="N63" s="21">
        <v>0.18433235867446393</v>
      </c>
    </row>
    <row r="64" spans="1:14" x14ac:dyDescent="0.3">
      <c r="A64" t="s">
        <v>132</v>
      </c>
      <c r="B64" t="s">
        <v>27</v>
      </c>
      <c r="C64" s="11">
        <v>45721</v>
      </c>
      <c r="D64" t="s">
        <v>16</v>
      </c>
      <c r="E64" t="s">
        <v>17</v>
      </c>
      <c r="F64">
        <v>1543</v>
      </c>
      <c r="G64">
        <v>820</v>
      </c>
      <c r="H64">
        <v>333</v>
      </c>
      <c r="I64">
        <v>12344</v>
      </c>
      <c r="J64">
        <v>11496</v>
      </c>
      <c r="K64">
        <v>241</v>
      </c>
      <c r="L64" t="s">
        <v>58</v>
      </c>
      <c r="M64" t="s">
        <v>38</v>
      </c>
      <c r="N64" s="21">
        <v>0.21840570317563188</v>
      </c>
    </row>
    <row r="65" spans="1:14" x14ac:dyDescent="0.3">
      <c r="A65" t="s">
        <v>134</v>
      </c>
      <c r="B65" t="s">
        <v>31</v>
      </c>
      <c r="C65" s="11">
        <v>45640</v>
      </c>
      <c r="D65" t="s">
        <v>42</v>
      </c>
      <c r="E65" t="s">
        <v>43</v>
      </c>
      <c r="F65">
        <v>2174</v>
      </c>
      <c r="G65">
        <v>658</v>
      </c>
      <c r="H65">
        <v>15</v>
      </c>
      <c r="I65">
        <v>13044</v>
      </c>
      <c r="J65">
        <v>12206</v>
      </c>
      <c r="K65">
        <v>137</v>
      </c>
      <c r="L65" t="s">
        <v>18</v>
      </c>
      <c r="M65" t="s">
        <v>55</v>
      </c>
      <c r="N65" s="21">
        <v>0.21826126954921804</v>
      </c>
    </row>
    <row r="66" spans="1:14" x14ac:dyDescent="0.3">
      <c r="A66" t="s">
        <v>134</v>
      </c>
      <c r="B66" t="s">
        <v>31</v>
      </c>
      <c r="C66" s="11">
        <v>45640</v>
      </c>
      <c r="D66" t="s">
        <v>42</v>
      </c>
      <c r="E66" t="s">
        <v>43</v>
      </c>
      <c r="F66">
        <v>2174</v>
      </c>
      <c r="G66">
        <v>658</v>
      </c>
      <c r="H66">
        <v>15</v>
      </c>
      <c r="I66">
        <v>13044</v>
      </c>
      <c r="J66">
        <v>12206</v>
      </c>
      <c r="K66">
        <v>137</v>
      </c>
      <c r="L66" t="s">
        <v>24</v>
      </c>
      <c r="M66" t="s">
        <v>55</v>
      </c>
      <c r="N66" s="21">
        <v>0.21826126954921804</v>
      </c>
    </row>
    <row r="67" spans="1:14" x14ac:dyDescent="0.3">
      <c r="A67" t="s">
        <v>136</v>
      </c>
      <c r="B67" t="s">
        <v>14</v>
      </c>
      <c r="C67" s="11">
        <v>45718</v>
      </c>
      <c r="D67" t="s">
        <v>49</v>
      </c>
      <c r="E67" t="s">
        <v>50</v>
      </c>
      <c r="F67">
        <v>2358</v>
      </c>
      <c r="G67">
        <v>784</v>
      </c>
      <c r="H67">
        <v>344</v>
      </c>
      <c r="I67">
        <v>35370</v>
      </c>
      <c r="J67">
        <v>34475</v>
      </c>
      <c r="K67">
        <v>216</v>
      </c>
      <c r="L67" t="s">
        <v>18</v>
      </c>
      <c r="M67" t="s">
        <v>19</v>
      </c>
      <c r="N67" s="21">
        <v>9.8558100084817649E-2</v>
      </c>
    </row>
    <row r="68" spans="1:14" x14ac:dyDescent="0.3">
      <c r="A68" t="s">
        <v>136</v>
      </c>
      <c r="B68" t="s">
        <v>14</v>
      </c>
      <c r="C68" s="11">
        <v>45718</v>
      </c>
      <c r="D68" t="s">
        <v>49</v>
      </c>
      <c r="E68" t="s">
        <v>50</v>
      </c>
      <c r="F68">
        <v>2358</v>
      </c>
      <c r="G68">
        <v>784</v>
      </c>
      <c r="H68">
        <v>344</v>
      </c>
      <c r="I68">
        <v>35370</v>
      </c>
      <c r="J68">
        <v>34475</v>
      </c>
      <c r="K68">
        <v>216</v>
      </c>
      <c r="L68" t="s">
        <v>58</v>
      </c>
      <c r="M68" t="s">
        <v>19</v>
      </c>
      <c r="N68" s="21">
        <v>9.8558100084817649E-2</v>
      </c>
    </row>
    <row r="69" spans="1:14" x14ac:dyDescent="0.3">
      <c r="A69" t="s">
        <v>138</v>
      </c>
      <c r="B69" t="s">
        <v>40</v>
      </c>
      <c r="C69" s="11">
        <v>45597</v>
      </c>
      <c r="D69" t="s">
        <v>69</v>
      </c>
      <c r="E69" t="s">
        <v>70</v>
      </c>
      <c r="F69">
        <v>3371</v>
      </c>
      <c r="G69">
        <v>106</v>
      </c>
      <c r="H69">
        <v>327</v>
      </c>
      <c r="I69">
        <v>50565</v>
      </c>
      <c r="J69">
        <v>49816</v>
      </c>
      <c r="K69">
        <v>176</v>
      </c>
      <c r="L69" t="s">
        <v>77</v>
      </c>
      <c r="M69" t="s">
        <v>55</v>
      </c>
      <c r="N69" s="21">
        <v>7.5229902106199939E-2</v>
      </c>
    </row>
    <row r="70" spans="1:14" x14ac:dyDescent="0.3">
      <c r="A70" t="s">
        <v>140</v>
      </c>
      <c r="B70" t="s">
        <v>14</v>
      </c>
      <c r="C70" s="11">
        <v>45779</v>
      </c>
      <c r="D70" t="s">
        <v>69</v>
      </c>
      <c r="E70" t="s">
        <v>70</v>
      </c>
      <c r="F70">
        <v>1108</v>
      </c>
      <c r="G70">
        <v>177</v>
      </c>
      <c r="H70">
        <v>212</v>
      </c>
      <c r="I70">
        <v>8864</v>
      </c>
      <c r="J70">
        <v>8710</v>
      </c>
      <c r="K70">
        <v>97</v>
      </c>
      <c r="L70" t="s">
        <v>24</v>
      </c>
      <c r="M70" t="s">
        <v>55</v>
      </c>
      <c r="N70" s="21">
        <v>0.16888537906137185</v>
      </c>
    </row>
    <row r="71" spans="1:14" x14ac:dyDescent="0.3">
      <c r="A71" t="s">
        <v>142</v>
      </c>
      <c r="B71" t="s">
        <v>14</v>
      </c>
      <c r="C71" s="11">
        <v>45712</v>
      </c>
      <c r="D71" t="s">
        <v>42</v>
      </c>
      <c r="E71" t="s">
        <v>43</v>
      </c>
      <c r="F71">
        <v>2704</v>
      </c>
      <c r="G71">
        <v>752</v>
      </c>
      <c r="H71">
        <v>153</v>
      </c>
      <c r="I71">
        <v>21632</v>
      </c>
      <c r="J71">
        <v>20792</v>
      </c>
      <c r="K71">
        <v>127</v>
      </c>
      <c r="L71" t="s">
        <v>77</v>
      </c>
      <c r="M71" t="s">
        <v>19</v>
      </c>
      <c r="N71" s="21">
        <v>0.16683616863905326</v>
      </c>
    </row>
    <row r="72" spans="1:14" x14ac:dyDescent="0.3">
      <c r="A72" t="s">
        <v>142</v>
      </c>
      <c r="B72" t="s">
        <v>14</v>
      </c>
      <c r="C72" s="11">
        <v>45712</v>
      </c>
      <c r="D72" t="s">
        <v>42</v>
      </c>
      <c r="E72" t="s">
        <v>43</v>
      </c>
      <c r="F72">
        <v>2704</v>
      </c>
      <c r="G72">
        <v>752</v>
      </c>
      <c r="H72">
        <v>153</v>
      </c>
      <c r="I72">
        <v>21632</v>
      </c>
      <c r="J72">
        <v>20792</v>
      </c>
      <c r="K72">
        <v>127</v>
      </c>
      <c r="L72" t="s">
        <v>24</v>
      </c>
      <c r="M72" t="s">
        <v>19</v>
      </c>
      <c r="N72" s="21">
        <v>0.16683616863905326</v>
      </c>
    </row>
    <row r="73" spans="1:14" x14ac:dyDescent="0.3">
      <c r="A73" t="s">
        <v>145</v>
      </c>
      <c r="B73" t="s">
        <v>14</v>
      </c>
      <c r="C73" s="11">
        <v>45727</v>
      </c>
      <c r="D73" t="s">
        <v>33</v>
      </c>
      <c r="E73" t="s">
        <v>34</v>
      </c>
      <c r="F73">
        <v>1950</v>
      </c>
      <c r="G73">
        <v>295</v>
      </c>
      <c r="H73">
        <v>478</v>
      </c>
      <c r="I73">
        <v>37050</v>
      </c>
      <c r="J73">
        <v>36272</v>
      </c>
      <c r="K73">
        <v>119</v>
      </c>
      <c r="L73" t="s">
        <v>24</v>
      </c>
      <c r="M73" t="s">
        <v>55</v>
      </c>
      <c r="N73" s="21">
        <v>7.349527665317139E-2</v>
      </c>
    </row>
    <row r="74" spans="1:14" x14ac:dyDescent="0.3">
      <c r="A74" t="s">
        <v>145</v>
      </c>
      <c r="B74" t="s">
        <v>14</v>
      </c>
      <c r="C74" s="11">
        <v>45727</v>
      </c>
      <c r="D74" t="s">
        <v>33</v>
      </c>
      <c r="E74" t="s">
        <v>34</v>
      </c>
      <c r="F74">
        <v>1950</v>
      </c>
      <c r="G74">
        <v>295</v>
      </c>
      <c r="H74">
        <v>478</v>
      </c>
      <c r="I74">
        <v>37050</v>
      </c>
      <c r="J74">
        <v>36272</v>
      </c>
      <c r="K74">
        <v>119</v>
      </c>
      <c r="L74" t="s">
        <v>58</v>
      </c>
      <c r="M74" t="s">
        <v>55</v>
      </c>
      <c r="N74" s="21">
        <v>7.349527665317139E-2</v>
      </c>
    </row>
    <row r="75" spans="1:14" x14ac:dyDescent="0.3">
      <c r="A75" t="s">
        <v>147</v>
      </c>
      <c r="B75" t="s">
        <v>14</v>
      </c>
      <c r="C75" s="11">
        <v>45453</v>
      </c>
      <c r="D75" t="s">
        <v>33</v>
      </c>
      <c r="E75" t="s">
        <v>34</v>
      </c>
      <c r="F75">
        <v>2164</v>
      </c>
      <c r="G75">
        <v>549</v>
      </c>
      <c r="H75">
        <v>274</v>
      </c>
      <c r="I75">
        <v>28132</v>
      </c>
      <c r="J75">
        <v>27361</v>
      </c>
      <c r="K75">
        <v>177</v>
      </c>
      <c r="L75" t="s">
        <v>58</v>
      </c>
      <c r="M75" t="s">
        <v>19</v>
      </c>
      <c r="N75" s="21">
        <v>0.10617801791554102</v>
      </c>
    </row>
    <row r="76" spans="1:14" x14ac:dyDescent="0.3">
      <c r="A76" t="s">
        <v>149</v>
      </c>
      <c r="B76" t="s">
        <v>27</v>
      </c>
      <c r="C76" s="11">
        <v>45476</v>
      </c>
      <c r="D76" t="s">
        <v>33</v>
      </c>
      <c r="E76" t="s">
        <v>34</v>
      </c>
      <c r="F76">
        <v>2754</v>
      </c>
      <c r="G76">
        <v>130</v>
      </c>
      <c r="H76">
        <v>90</v>
      </c>
      <c r="I76">
        <v>22032</v>
      </c>
      <c r="J76">
        <v>21288</v>
      </c>
      <c r="K76">
        <v>112</v>
      </c>
      <c r="L76" t="s">
        <v>24</v>
      </c>
      <c r="M76" t="s">
        <v>19</v>
      </c>
      <c r="N76" s="21">
        <v>0.13498547567175018</v>
      </c>
    </row>
    <row r="77" spans="1:14" x14ac:dyDescent="0.3">
      <c r="A77" t="s">
        <v>151</v>
      </c>
      <c r="B77" t="s">
        <v>40</v>
      </c>
      <c r="C77" s="11">
        <v>45456</v>
      </c>
      <c r="D77" t="s">
        <v>42</v>
      </c>
      <c r="E77" t="s">
        <v>43</v>
      </c>
      <c r="F77">
        <v>2200</v>
      </c>
      <c r="G77">
        <v>504</v>
      </c>
      <c r="H77">
        <v>239</v>
      </c>
      <c r="I77">
        <v>37400</v>
      </c>
      <c r="J77">
        <v>36938</v>
      </c>
      <c r="K77">
        <v>225</v>
      </c>
      <c r="L77" t="s">
        <v>18</v>
      </c>
      <c r="M77" t="s">
        <v>38</v>
      </c>
      <c r="N77" s="21">
        <v>7.8689839572192513E-2</v>
      </c>
    </row>
    <row r="78" spans="1:14" x14ac:dyDescent="0.3">
      <c r="A78" t="s">
        <v>153</v>
      </c>
      <c r="B78" t="s">
        <v>40</v>
      </c>
      <c r="C78" s="11">
        <v>45660</v>
      </c>
      <c r="D78" t="s">
        <v>49</v>
      </c>
      <c r="E78" t="s">
        <v>50</v>
      </c>
      <c r="F78">
        <v>947</v>
      </c>
      <c r="G78">
        <v>338</v>
      </c>
      <c r="H78">
        <v>350</v>
      </c>
      <c r="I78">
        <v>10417</v>
      </c>
      <c r="J78">
        <v>9730</v>
      </c>
      <c r="K78">
        <v>34</v>
      </c>
      <c r="L78" t="s">
        <v>24</v>
      </c>
      <c r="M78" t="s">
        <v>38</v>
      </c>
      <c r="N78" s="21">
        <v>0.1569549774407219</v>
      </c>
    </row>
    <row r="79" spans="1:14" x14ac:dyDescent="0.3">
      <c r="A79" t="s">
        <v>153</v>
      </c>
      <c r="B79" t="s">
        <v>40</v>
      </c>
      <c r="C79" s="11">
        <v>45660</v>
      </c>
      <c r="D79" t="s">
        <v>49</v>
      </c>
      <c r="E79" t="s">
        <v>50</v>
      </c>
      <c r="F79">
        <v>947</v>
      </c>
      <c r="G79">
        <v>338</v>
      </c>
      <c r="H79">
        <v>350</v>
      </c>
      <c r="I79">
        <v>10417</v>
      </c>
      <c r="J79">
        <v>9730</v>
      </c>
      <c r="K79">
        <v>34</v>
      </c>
      <c r="L79" t="s">
        <v>18</v>
      </c>
      <c r="M79" t="s">
        <v>38</v>
      </c>
      <c r="N79" s="21">
        <v>0.1569549774407219</v>
      </c>
    </row>
    <row r="80" spans="1:14" x14ac:dyDescent="0.3">
      <c r="A80" t="s">
        <v>155</v>
      </c>
      <c r="B80" t="s">
        <v>27</v>
      </c>
      <c r="C80" s="11">
        <v>45712</v>
      </c>
      <c r="D80" t="s">
        <v>42</v>
      </c>
      <c r="E80" t="s">
        <v>43</v>
      </c>
      <c r="F80">
        <v>804</v>
      </c>
      <c r="G80">
        <v>639</v>
      </c>
      <c r="H80">
        <v>43</v>
      </c>
      <c r="I80">
        <v>4020</v>
      </c>
      <c r="J80">
        <v>3144</v>
      </c>
      <c r="K80">
        <v>11</v>
      </c>
      <c r="L80" t="s">
        <v>58</v>
      </c>
      <c r="M80" t="s">
        <v>55</v>
      </c>
      <c r="N80" s="21">
        <v>0.36965174129353234</v>
      </c>
    </row>
    <row r="81" spans="1:14" x14ac:dyDescent="0.3">
      <c r="A81" t="s">
        <v>155</v>
      </c>
      <c r="B81" t="s">
        <v>27</v>
      </c>
      <c r="C81" s="11">
        <v>45712</v>
      </c>
      <c r="D81" t="s">
        <v>42</v>
      </c>
      <c r="E81" t="s">
        <v>43</v>
      </c>
      <c r="F81">
        <v>804</v>
      </c>
      <c r="G81">
        <v>639</v>
      </c>
      <c r="H81">
        <v>43</v>
      </c>
      <c r="I81">
        <v>4020</v>
      </c>
      <c r="J81">
        <v>3144</v>
      </c>
      <c r="K81">
        <v>11</v>
      </c>
      <c r="L81" t="s">
        <v>44</v>
      </c>
      <c r="M81" t="s">
        <v>55</v>
      </c>
      <c r="N81" s="21">
        <v>0.36965174129353234</v>
      </c>
    </row>
    <row r="82" spans="1:14" x14ac:dyDescent="0.3">
      <c r="A82" t="s">
        <v>156</v>
      </c>
      <c r="B82" t="s">
        <v>27</v>
      </c>
      <c r="C82" s="11">
        <v>45729</v>
      </c>
      <c r="D82" t="s">
        <v>42</v>
      </c>
      <c r="E82" t="s">
        <v>43</v>
      </c>
      <c r="F82">
        <v>1686</v>
      </c>
      <c r="G82">
        <v>904</v>
      </c>
      <c r="H82">
        <v>472</v>
      </c>
      <c r="I82">
        <v>18546</v>
      </c>
      <c r="J82">
        <v>18171</v>
      </c>
      <c r="K82">
        <v>52</v>
      </c>
      <c r="L82" t="s">
        <v>24</v>
      </c>
      <c r="M82" t="s">
        <v>25</v>
      </c>
      <c r="N82" s="21">
        <v>0.16510298716704411</v>
      </c>
    </row>
    <row r="83" spans="1:14" x14ac:dyDescent="0.3">
      <c r="A83" t="s">
        <v>156</v>
      </c>
      <c r="B83" t="s">
        <v>27</v>
      </c>
      <c r="C83" s="11">
        <v>45729</v>
      </c>
      <c r="D83" t="s">
        <v>42</v>
      </c>
      <c r="E83" t="s">
        <v>43</v>
      </c>
      <c r="F83">
        <v>1686</v>
      </c>
      <c r="G83">
        <v>904</v>
      </c>
      <c r="H83">
        <v>472</v>
      </c>
      <c r="I83">
        <v>18546</v>
      </c>
      <c r="J83">
        <v>18171</v>
      </c>
      <c r="K83">
        <v>52</v>
      </c>
      <c r="L83" t="s">
        <v>77</v>
      </c>
      <c r="M83" t="s">
        <v>25</v>
      </c>
      <c r="N83" s="21">
        <v>0.16510298716704411</v>
      </c>
    </row>
    <row r="84" spans="1:14" x14ac:dyDescent="0.3">
      <c r="A84" t="s">
        <v>158</v>
      </c>
      <c r="B84" t="s">
        <v>40</v>
      </c>
      <c r="C84" s="11">
        <v>45460</v>
      </c>
      <c r="D84" t="s">
        <v>49</v>
      </c>
      <c r="E84" t="s">
        <v>50</v>
      </c>
      <c r="F84">
        <v>1226</v>
      </c>
      <c r="G84">
        <v>119</v>
      </c>
      <c r="H84">
        <v>7</v>
      </c>
      <c r="I84">
        <v>14712</v>
      </c>
      <c r="J84">
        <v>14049</v>
      </c>
      <c r="K84">
        <v>123</v>
      </c>
      <c r="L84" t="s">
        <v>18</v>
      </c>
      <c r="M84" t="s">
        <v>55</v>
      </c>
      <c r="N84" s="21">
        <v>9.1897770527460579E-2</v>
      </c>
    </row>
    <row r="85" spans="1:14" x14ac:dyDescent="0.3">
      <c r="A85" t="s">
        <v>158</v>
      </c>
      <c r="B85" t="s">
        <v>40</v>
      </c>
      <c r="C85" s="11">
        <v>45460</v>
      </c>
      <c r="D85" t="s">
        <v>49</v>
      </c>
      <c r="E85" t="s">
        <v>50</v>
      </c>
      <c r="F85">
        <v>1226</v>
      </c>
      <c r="G85">
        <v>119</v>
      </c>
      <c r="H85">
        <v>7</v>
      </c>
      <c r="I85">
        <v>14712</v>
      </c>
      <c r="J85">
        <v>14049</v>
      </c>
      <c r="K85">
        <v>123</v>
      </c>
      <c r="L85" t="s">
        <v>44</v>
      </c>
      <c r="M85" t="s">
        <v>55</v>
      </c>
      <c r="N85" s="21">
        <v>9.1897770527460579E-2</v>
      </c>
    </row>
    <row r="86" spans="1:14" x14ac:dyDescent="0.3">
      <c r="A86" t="s">
        <v>160</v>
      </c>
      <c r="B86" t="s">
        <v>40</v>
      </c>
      <c r="C86" s="11">
        <v>45644</v>
      </c>
      <c r="D86" t="s">
        <v>42</v>
      </c>
      <c r="E86" t="s">
        <v>43</v>
      </c>
      <c r="F86">
        <v>2946</v>
      </c>
      <c r="G86">
        <v>498</v>
      </c>
      <c r="H86">
        <v>367</v>
      </c>
      <c r="I86">
        <v>29460</v>
      </c>
      <c r="J86">
        <v>28527</v>
      </c>
      <c r="K86">
        <v>60</v>
      </c>
      <c r="L86" t="s">
        <v>58</v>
      </c>
      <c r="M86" t="s">
        <v>25</v>
      </c>
      <c r="N86" s="21">
        <v>0.12936184657162253</v>
      </c>
    </row>
    <row r="87" spans="1:14" x14ac:dyDescent="0.3">
      <c r="A87" t="s">
        <v>160</v>
      </c>
      <c r="B87" t="s">
        <v>40</v>
      </c>
      <c r="C87" s="11">
        <v>45644</v>
      </c>
      <c r="D87" t="s">
        <v>42</v>
      </c>
      <c r="E87" t="s">
        <v>43</v>
      </c>
      <c r="F87">
        <v>2946</v>
      </c>
      <c r="G87">
        <v>498</v>
      </c>
      <c r="H87">
        <v>367</v>
      </c>
      <c r="I87">
        <v>29460</v>
      </c>
      <c r="J87">
        <v>28527</v>
      </c>
      <c r="K87">
        <v>60</v>
      </c>
      <c r="L87" t="s">
        <v>77</v>
      </c>
      <c r="M87" t="s">
        <v>25</v>
      </c>
      <c r="N87" s="21">
        <v>0.12936184657162253</v>
      </c>
    </row>
    <row r="88" spans="1:14" x14ac:dyDescent="0.3">
      <c r="A88" t="s">
        <v>163</v>
      </c>
      <c r="B88" t="s">
        <v>14</v>
      </c>
      <c r="C88" s="11">
        <v>45586</v>
      </c>
      <c r="D88" t="s">
        <v>69</v>
      </c>
      <c r="E88" t="s">
        <v>70</v>
      </c>
      <c r="F88">
        <v>2825</v>
      </c>
      <c r="G88">
        <v>535</v>
      </c>
      <c r="H88">
        <v>295</v>
      </c>
      <c r="I88">
        <v>45200</v>
      </c>
      <c r="J88">
        <v>44739</v>
      </c>
      <c r="K88">
        <v>169</v>
      </c>
      <c r="L88" t="s">
        <v>58</v>
      </c>
      <c r="M88" t="s">
        <v>25</v>
      </c>
      <c r="N88" s="21">
        <v>8.0862831858407078E-2</v>
      </c>
    </row>
    <row r="89" spans="1:14" x14ac:dyDescent="0.3">
      <c r="A89" t="s">
        <v>165</v>
      </c>
      <c r="B89" t="s">
        <v>31</v>
      </c>
      <c r="C89" s="11">
        <v>45762</v>
      </c>
      <c r="D89" t="s">
        <v>16</v>
      </c>
      <c r="E89" t="s">
        <v>17</v>
      </c>
      <c r="F89">
        <v>103</v>
      </c>
      <c r="G89">
        <v>770</v>
      </c>
      <c r="H89">
        <v>19</v>
      </c>
      <c r="I89">
        <v>1030</v>
      </c>
      <c r="J89">
        <v>410</v>
      </c>
      <c r="K89">
        <v>262</v>
      </c>
      <c r="L89" t="s">
        <v>18</v>
      </c>
      <c r="M89" t="s">
        <v>38</v>
      </c>
      <c r="N89" s="21">
        <v>0.86601941747572819</v>
      </c>
    </row>
    <row r="90" spans="1:14" x14ac:dyDescent="0.3">
      <c r="A90" t="s">
        <v>167</v>
      </c>
      <c r="B90" t="s">
        <v>31</v>
      </c>
      <c r="C90" s="11">
        <v>45465</v>
      </c>
      <c r="D90" t="s">
        <v>22</v>
      </c>
      <c r="E90" t="s">
        <v>23</v>
      </c>
      <c r="F90">
        <v>2180</v>
      </c>
      <c r="G90">
        <v>263</v>
      </c>
      <c r="H90">
        <v>387</v>
      </c>
      <c r="I90">
        <v>30520</v>
      </c>
      <c r="J90">
        <v>30059</v>
      </c>
      <c r="K90">
        <v>174</v>
      </c>
      <c r="L90" t="s">
        <v>77</v>
      </c>
      <c r="M90" t="s">
        <v>19</v>
      </c>
      <c r="N90" s="21">
        <v>9.2726081258191345E-2</v>
      </c>
    </row>
    <row r="91" spans="1:14" x14ac:dyDescent="0.3">
      <c r="A91" t="s">
        <v>169</v>
      </c>
      <c r="B91" t="s">
        <v>31</v>
      </c>
      <c r="C91" s="11">
        <v>45685</v>
      </c>
      <c r="D91" t="s">
        <v>69</v>
      </c>
      <c r="E91" t="s">
        <v>70</v>
      </c>
      <c r="F91">
        <v>904</v>
      </c>
      <c r="G91">
        <v>973</v>
      </c>
      <c r="H91">
        <v>63</v>
      </c>
      <c r="I91">
        <v>11752</v>
      </c>
      <c r="J91">
        <v>11580</v>
      </c>
      <c r="K91">
        <v>84</v>
      </c>
      <c r="L91" t="s">
        <v>58</v>
      </c>
      <c r="M91" t="s">
        <v>19</v>
      </c>
      <c r="N91" s="21">
        <v>0.1650782845473111</v>
      </c>
    </row>
    <row r="92" spans="1:14" x14ac:dyDescent="0.3">
      <c r="A92" t="s">
        <v>171</v>
      </c>
      <c r="B92" t="s">
        <v>14</v>
      </c>
      <c r="C92" s="11">
        <v>45540</v>
      </c>
      <c r="D92" t="s">
        <v>69</v>
      </c>
      <c r="E92" t="s">
        <v>70</v>
      </c>
      <c r="F92">
        <v>4886</v>
      </c>
      <c r="G92">
        <v>983</v>
      </c>
      <c r="H92">
        <v>409</v>
      </c>
      <c r="I92">
        <v>43974</v>
      </c>
      <c r="J92">
        <v>43239</v>
      </c>
      <c r="K92">
        <v>65</v>
      </c>
      <c r="L92" t="s">
        <v>24</v>
      </c>
      <c r="M92" t="s">
        <v>19</v>
      </c>
      <c r="N92" s="21">
        <v>0.14276618001546368</v>
      </c>
    </row>
    <row r="93" spans="1:14" x14ac:dyDescent="0.3">
      <c r="A93" t="s">
        <v>173</v>
      </c>
      <c r="B93" t="s">
        <v>14</v>
      </c>
      <c r="C93" s="11">
        <v>45618</v>
      </c>
      <c r="D93" t="s">
        <v>42</v>
      </c>
      <c r="E93" t="s">
        <v>43</v>
      </c>
      <c r="F93">
        <v>53</v>
      </c>
      <c r="G93">
        <v>81</v>
      </c>
      <c r="H93">
        <v>379</v>
      </c>
      <c r="I93">
        <v>954</v>
      </c>
      <c r="J93">
        <v>7</v>
      </c>
      <c r="K93">
        <v>148</v>
      </c>
      <c r="L93" t="s">
        <v>77</v>
      </c>
      <c r="M93" t="s">
        <v>38</v>
      </c>
      <c r="N93" s="21">
        <v>0.53773584905660377</v>
      </c>
    </row>
    <row r="94" spans="1:14" x14ac:dyDescent="0.3">
      <c r="A94" t="s">
        <v>175</v>
      </c>
      <c r="B94" t="s">
        <v>14</v>
      </c>
      <c r="C94" s="11">
        <v>45504</v>
      </c>
      <c r="D94" t="s">
        <v>42</v>
      </c>
      <c r="E94" t="s">
        <v>43</v>
      </c>
      <c r="F94">
        <v>4507</v>
      </c>
      <c r="G94">
        <v>217</v>
      </c>
      <c r="H94">
        <v>13</v>
      </c>
      <c r="I94">
        <v>90140</v>
      </c>
      <c r="J94">
        <v>89591</v>
      </c>
      <c r="K94">
        <v>125</v>
      </c>
      <c r="L94" t="s">
        <v>18</v>
      </c>
      <c r="M94" t="s">
        <v>19</v>
      </c>
      <c r="N94" s="21">
        <v>5.2551586421122697E-2</v>
      </c>
    </row>
    <row r="95" spans="1:14" x14ac:dyDescent="0.3">
      <c r="A95" t="s">
        <v>176</v>
      </c>
      <c r="B95" t="s">
        <v>40</v>
      </c>
      <c r="C95" s="11">
        <v>45521</v>
      </c>
      <c r="D95" t="s">
        <v>49</v>
      </c>
      <c r="E95" t="s">
        <v>50</v>
      </c>
      <c r="F95">
        <v>2878</v>
      </c>
      <c r="G95">
        <v>248</v>
      </c>
      <c r="H95">
        <v>416</v>
      </c>
      <c r="I95">
        <v>43170</v>
      </c>
      <c r="J95">
        <v>42667</v>
      </c>
      <c r="K95">
        <v>75</v>
      </c>
      <c r="L95" t="s">
        <v>77</v>
      </c>
      <c r="M95" t="s">
        <v>25</v>
      </c>
      <c r="N95" s="21">
        <v>8.2047718322909427E-2</v>
      </c>
    </row>
    <row r="96" spans="1:14" x14ac:dyDescent="0.3">
      <c r="A96" t="s">
        <v>176</v>
      </c>
      <c r="B96" t="s">
        <v>40</v>
      </c>
      <c r="C96" s="11">
        <v>45521</v>
      </c>
      <c r="D96" t="s">
        <v>49</v>
      </c>
      <c r="E96" t="s">
        <v>50</v>
      </c>
      <c r="F96">
        <v>2878</v>
      </c>
      <c r="G96">
        <v>248</v>
      </c>
      <c r="H96">
        <v>416</v>
      </c>
      <c r="I96">
        <v>43170</v>
      </c>
      <c r="J96">
        <v>42667</v>
      </c>
      <c r="K96">
        <v>75</v>
      </c>
      <c r="L96" t="s">
        <v>44</v>
      </c>
      <c r="M96" t="s">
        <v>25</v>
      </c>
      <c r="N96" s="21">
        <v>8.2047718322909427E-2</v>
      </c>
    </row>
    <row r="97" spans="1:14" x14ac:dyDescent="0.3">
      <c r="A97" t="s">
        <v>179</v>
      </c>
      <c r="B97" t="s">
        <v>31</v>
      </c>
      <c r="C97" s="11">
        <v>45744</v>
      </c>
      <c r="D97" t="s">
        <v>33</v>
      </c>
      <c r="E97" t="s">
        <v>34</v>
      </c>
      <c r="F97">
        <v>1881</v>
      </c>
      <c r="G97">
        <v>501</v>
      </c>
      <c r="H97">
        <v>99</v>
      </c>
      <c r="I97">
        <v>20691</v>
      </c>
      <c r="J97">
        <v>19987</v>
      </c>
      <c r="K97">
        <v>289</v>
      </c>
      <c r="L97" t="s">
        <v>77</v>
      </c>
      <c r="M97" t="s">
        <v>25</v>
      </c>
      <c r="N97" s="21">
        <v>0.11990720603160794</v>
      </c>
    </row>
    <row r="98" spans="1:14" x14ac:dyDescent="0.3">
      <c r="A98" t="s">
        <v>181</v>
      </c>
      <c r="B98" t="s">
        <v>14</v>
      </c>
      <c r="C98" s="11">
        <v>45499</v>
      </c>
      <c r="D98" t="s">
        <v>42</v>
      </c>
      <c r="E98" t="s">
        <v>43</v>
      </c>
      <c r="F98">
        <v>432</v>
      </c>
      <c r="G98">
        <v>171</v>
      </c>
      <c r="H98">
        <v>280</v>
      </c>
      <c r="I98">
        <v>3024</v>
      </c>
      <c r="J98">
        <v>2285</v>
      </c>
      <c r="K98">
        <v>184</v>
      </c>
      <c r="L98" t="s">
        <v>24</v>
      </c>
      <c r="M98" t="s">
        <v>38</v>
      </c>
      <c r="N98" s="21">
        <v>0.29199735449735448</v>
      </c>
    </row>
    <row r="99" spans="1:14" x14ac:dyDescent="0.3">
      <c r="A99" t="s">
        <v>183</v>
      </c>
      <c r="B99" t="s">
        <v>40</v>
      </c>
      <c r="C99" s="11">
        <v>45745</v>
      </c>
      <c r="D99" t="s">
        <v>42</v>
      </c>
      <c r="E99" t="s">
        <v>43</v>
      </c>
      <c r="F99">
        <v>4712</v>
      </c>
      <c r="G99">
        <v>568</v>
      </c>
      <c r="H99">
        <v>127</v>
      </c>
      <c r="I99">
        <v>84816</v>
      </c>
      <c r="J99">
        <v>84691</v>
      </c>
      <c r="K99">
        <v>100</v>
      </c>
      <c r="L99" t="s">
        <v>77</v>
      </c>
      <c r="M99" t="s">
        <v>19</v>
      </c>
      <c r="N99" s="21">
        <v>6.3749764195434822E-2</v>
      </c>
    </row>
    <row r="100" spans="1:14" x14ac:dyDescent="0.3">
      <c r="A100" t="s">
        <v>185</v>
      </c>
      <c r="B100" t="s">
        <v>31</v>
      </c>
      <c r="C100" s="11">
        <v>45634</v>
      </c>
      <c r="D100" t="s">
        <v>33</v>
      </c>
      <c r="E100" t="s">
        <v>34</v>
      </c>
      <c r="F100">
        <v>2610</v>
      </c>
      <c r="G100">
        <v>126</v>
      </c>
      <c r="H100">
        <v>288</v>
      </c>
      <c r="I100">
        <v>15660</v>
      </c>
      <c r="J100">
        <v>15145</v>
      </c>
      <c r="K100">
        <v>73</v>
      </c>
      <c r="L100" t="s">
        <v>24</v>
      </c>
      <c r="M100" t="s">
        <v>19</v>
      </c>
      <c r="N100" s="21">
        <v>0.19310344827586207</v>
      </c>
    </row>
    <row r="101" spans="1:14" x14ac:dyDescent="0.3">
      <c r="A101" t="s">
        <v>187</v>
      </c>
      <c r="B101" t="s">
        <v>14</v>
      </c>
      <c r="C101" s="11">
        <v>45724</v>
      </c>
      <c r="D101" t="s">
        <v>22</v>
      </c>
      <c r="E101" t="s">
        <v>23</v>
      </c>
      <c r="F101">
        <v>1292</v>
      </c>
      <c r="G101">
        <v>626</v>
      </c>
      <c r="H101">
        <v>496</v>
      </c>
      <c r="I101">
        <v>25840</v>
      </c>
      <c r="J101">
        <v>24916</v>
      </c>
      <c r="K101">
        <v>149</v>
      </c>
      <c r="L101" t="s">
        <v>58</v>
      </c>
      <c r="M101" t="s">
        <v>55</v>
      </c>
      <c r="N101" s="21">
        <v>9.3421052631578946E-2</v>
      </c>
    </row>
    <row r="102" spans="1:14" x14ac:dyDescent="0.3">
      <c r="A102" t="s">
        <v>187</v>
      </c>
      <c r="B102" t="s">
        <v>14</v>
      </c>
      <c r="C102" s="11">
        <v>45724</v>
      </c>
      <c r="D102" t="s">
        <v>22</v>
      </c>
      <c r="E102" t="s">
        <v>23</v>
      </c>
      <c r="F102">
        <v>1292</v>
      </c>
      <c r="G102">
        <v>626</v>
      </c>
      <c r="H102">
        <v>496</v>
      </c>
      <c r="I102">
        <v>25840</v>
      </c>
      <c r="J102">
        <v>24916</v>
      </c>
      <c r="K102">
        <v>149</v>
      </c>
      <c r="L102" t="s">
        <v>44</v>
      </c>
      <c r="M102" t="s">
        <v>55</v>
      </c>
      <c r="N102" s="21">
        <v>9.3421052631578946E-2</v>
      </c>
    </row>
    <row r="103" spans="1:14" x14ac:dyDescent="0.3">
      <c r="A103" t="s">
        <v>188</v>
      </c>
      <c r="B103" t="s">
        <v>40</v>
      </c>
      <c r="C103" s="11">
        <v>45749</v>
      </c>
      <c r="D103" t="s">
        <v>69</v>
      </c>
      <c r="E103" t="s">
        <v>70</v>
      </c>
      <c r="F103">
        <v>199</v>
      </c>
      <c r="G103">
        <v>772</v>
      </c>
      <c r="H103">
        <v>400</v>
      </c>
      <c r="I103">
        <v>3582</v>
      </c>
      <c r="J103">
        <v>2988</v>
      </c>
      <c r="K103">
        <v>43</v>
      </c>
      <c r="L103" t="s">
        <v>44</v>
      </c>
      <c r="M103" t="s">
        <v>19</v>
      </c>
      <c r="N103" s="21">
        <v>0.38274706867671693</v>
      </c>
    </row>
    <row r="104" spans="1:14" x14ac:dyDescent="0.3">
      <c r="A104" t="s">
        <v>190</v>
      </c>
      <c r="B104" t="s">
        <v>27</v>
      </c>
      <c r="C104" s="11">
        <v>45537</v>
      </c>
      <c r="D104" t="s">
        <v>42</v>
      </c>
      <c r="E104" t="s">
        <v>43</v>
      </c>
      <c r="F104">
        <v>2551</v>
      </c>
      <c r="G104">
        <v>915</v>
      </c>
      <c r="H104">
        <v>205</v>
      </c>
      <c r="I104">
        <v>30612</v>
      </c>
      <c r="J104">
        <v>30360</v>
      </c>
      <c r="K104">
        <v>227</v>
      </c>
      <c r="L104" t="s">
        <v>18</v>
      </c>
      <c r="M104" t="s">
        <v>25</v>
      </c>
      <c r="N104" s="21">
        <v>0.1199202926956749</v>
      </c>
    </row>
    <row r="105" spans="1:14" x14ac:dyDescent="0.3">
      <c r="A105" t="s">
        <v>190</v>
      </c>
      <c r="B105" t="s">
        <v>27</v>
      </c>
      <c r="C105" s="11">
        <v>45537</v>
      </c>
      <c r="D105" t="s">
        <v>42</v>
      </c>
      <c r="E105" t="s">
        <v>43</v>
      </c>
      <c r="F105">
        <v>2551</v>
      </c>
      <c r="G105">
        <v>915</v>
      </c>
      <c r="H105">
        <v>205</v>
      </c>
      <c r="I105">
        <v>30612</v>
      </c>
      <c r="J105">
        <v>30360</v>
      </c>
      <c r="K105">
        <v>227</v>
      </c>
      <c r="L105" t="s">
        <v>77</v>
      </c>
      <c r="M105" t="s">
        <v>25</v>
      </c>
      <c r="N105" s="21">
        <v>0.1199202926956749</v>
      </c>
    </row>
    <row r="106" spans="1:14" x14ac:dyDescent="0.3">
      <c r="A106" t="s">
        <v>192</v>
      </c>
      <c r="B106" t="s">
        <v>27</v>
      </c>
      <c r="C106" s="11">
        <v>45719</v>
      </c>
      <c r="D106" t="s">
        <v>16</v>
      </c>
      <c r="E106" t="s">
        <v>17</v>
      </c>
      <c r="F106">
        <v>296</v>
      </c>
      <c r="G106">
        <v>60</v>
      </c>
      <c r="H106">
        <v>141</v>
      </c>
      <c r="I106">
        <v>5624</v>
      </c>
      <c r="J106">
        <v>5239</v>
      </c>
      <c r="K106">
        <v>88</v>
      </c>
      <c r="L106" t="s">
        <v>44</v>
      </c>
      <c r="M106" t="s">
        <v>55</v>
      </c>
      <c r="N106" s="21">
        <v>8.837126600284495E-2</v>
      </c>
    </row>
    <row r="107" spans="1:14" x14ac:dyDescent="0.3">
      <c r="A107" t="s">
        <v>194</v>
      </c>
      <c r="B107" t="s">
        <v>40</v>
      </c>
      <c r="C107" s="11">
        <v>45583</v>
      </c>
      <c r="D107" t="s">
        <v>33</v>
      </c>
      <c r="E107" t="s">
        <v>34</v>
      </c>
      <c r="F107">
        <v>4126</v>
      </c>
      <c r="G107">
        <v>426</v>
      </c>
      <c r="H107">
        <v>486</v>
      </c>
      <c r="I107">
        <v>78394</v>
      </c>
      <c r="J107">
        <v>77798</v>
      </c>
      <c r="K107">
        <v>88</v>
      </c>
      <c r="L107" t="s">
        <v>24</v>
      </c>
      <c r="M107" t="s">
        <v>19</v>
      </c>
      <c r="N107" s="21">
        <v>6.4265122330790625E-2</v>
      </c>
    </row>
    <row r="108" spans="1:14" x14ac:dyDescent="0.3">
      <c r="A108" t="s">
        <v>196</v>
      </c>
      <c r="B108" t="s">
        <v>27</v>
      </c>
      <c r="C108" s="11">
        <v>45593</v>
      </c>
      <c r="D108" t="s">
        <v>16</v>
      </c>
      <c r="E108" t="s">
        <v>17</v>
      </c>
      <c r="F108">
        <v>1855</v>
      </c>
      <c r="G108">
        <v>200</v>
      </c>
      <c r="H108">
        <v>174</v>
      </c>
      <c r="I108">
        <v>16695</v>
      </c>
      <c r="J108">
        <v>16330</v>
      </c>
      <c r="K108">
        <v>123</v>
      </c>
      <c r="L108" t="s">
        <v>24</v>
      </c>
      <c r="M108" t="s">
        <v>38</v>
      </c>
      <c r="N108" s="21">
        <v>0.13351302785265048</v>
      </c>
    </row>
    <row r="109" spans="1:14" x14ac:dyDescent="0.3">
      <c r="A109" t="s">
        <v>198</v>
      </c>
      <c r="B109" t="s">
        <v>31</v>
      </c>
      <c r="C109" s="11">
        <v>45505</v>
      </c>
      <c r="D109" t="s">
        <v>16</v>
      </c>
      <c r="E109" t="s">
        <v>17</v>
      </c>
      <c r="F109">
        <v>1674</v>
      </c>
      <c r="G109">
        <v>929</v>
      </c>
      <c r="H109">
        <v>37</v>
      </c>
      <c r="I109">
        <v>21762</v>
      </c>
      <c r="J109">
        <v>20998</v>
      </c>
      <c r="K109">
        <v>255</v>
      </c>
      <c r="L109" t="s">
        <v>58</v>
      </c>
      <c r="M109" t="s">
        <v>38</v>
      </c>
      <c r="N109" s="21">
        <v>0.12131237937689551</v>
      </c>
    </row>
    <row r="110" spans="1:14" x14ac:dyDescent="0.3">
      <c r="A110" t="s">
        <v>198</v>
      </c>
      <c r="B110" t="s">
        <v>31</v>
      </c>
      <c r="C110" s="11">
        <v>45505</v>
      </c>
      <c r="D110" t="s">
        <v>16</v>
      </c>
      <c r="E110" t="s">
        <v>17</v>
      </c>
      <c r="F110">
        <v>1674</v>
      </c>
      <c r="G110">
        <v>929</v>
      </c>
      <c r="H110">
        <v>37</v>
      </c>
      <c r="I110">
        <v>21762</v>
      </c>
      <c r="J110">
        <v>20998</v>
      </c>
      <c r="K110">
        <v>255</v>
      </c>
      <c r="L110" t="s">
        <v>77</v>
      </c>
      <c r="M110" t="s">
        <v>38</v>
      </c>
      <c r="N110" s="21">
        <v>0.12131237937689551</v>
      </c>
    </row>
    <row r="111" spans="1:14" x14ac:dyDescent="0.3">
      <c r="A111" t="s">
        <v>200</v>
      </c>
      <c r="B111" t="s">
        <v>14</v>
      </c>
      <c r="C111" s="11">
        <v>45603</v>
      </c>
      <c r="D111" t="s">
        <v>33</v>
      </c>
      <c r="E111" t="s">
        <v>34</v>
      </c>
      <c r="F111">
        <v>1121</v>
      </c>
      <c r="G111">
        <v>135</v>
      </c>
      <c r="H111">
        <v>18</v>
      </c>
      <c r="I111">
        <v>15694</v>
      </c>
      <c r="J111">
        <v>14957</v>
      </c>
      <c r="K111">
        <v>99</v>
      </c>
      <c r="L111" t="s">
        <v>18</v>
      </c>
      <c r="M111" t="s">
        <v>55</v>
      </c>
      <c r="N111" s="21">
        <v>8.1177520071364848E-2</v>
      </c>
    </row>
    <row r="112" spans="1:14" x14ac:dyDescent="0.3">
      <c r="A112" t="s">
        <v>200</v>
      </c>
      <c r="B112" t="s">
        <v>14</v>
      </c>
      <c r="C112" s="11">
        <v>45603</v>
      </c>
      <c r="D112" t="s">
        <v>33</v>
      </c>
      <c r="E112" t="s">
        <v>34</v>
      </c>
      <c r="F112">
        <v>1121</v>
      </c>
      <c r="G112">
        <v>135</v>
      </c>
      <c r="H112">
        <v>18</v>
      </c>
      <c r="I112">
        <v>15694</v>
      </c>
      <c r="J112">
        <v>14957</v>
      </c>
      <c r="K112">
        <v>99</v>
      </c>
      <c r="L112" t="s">
        <v>24</v>
      </c>
      <c r="M112" t="s">
        <v>55</v>
      </c>
      <c r="N112" s="21">
        <v>8.1177520071364848E-2</v>
      </c>
    </row>
    <row r="113" spans="1:14" x14ac:dyDescent="0.3">
      <c r="A113" t="s">
        <v>202</v>
      </c>
      <c r="B113" t="s">
        <v>40</v>
      </c>
      <c r="C113" s="11">
        <v>45720</v>
      </c>
      <c r="D113" t="s">
        <v>33</v>
      </c>
      <c r="E113" t="s">
        <v>34</v>
      </c>
      <c r="F113">
        <v>1249</v>
      </c>
      <c r="G113">
        <v>116</v>
      </c>
      <c r="H113">
        <v>420</v>
      </c>
      <c r="I113">
        <v>8743</v>
      </c>
      <c r="J113">
        <v>8538</v>
      </c>
      <c r="K113">
        <v>63</v>
      </c>
      <c r="L113" t="s">
        <v>24</v>
      </c>
      <c r="M113" t="s">
        <v>38</v>
      </c>
      <c r="N113" s="21">
        <v>0.20416333066453163</v>
      </c>
    </row>
    <row r="114" spans="1:14" x14ac:dyDescent="0.3">
      <c r="A114" t="s">
        <v>202</v>
      </c>
      <c r="B114" t="s">
        <v>40</v>
      </c>
      <c r="C114" s="11">
        <v>45720</v>
      </c>
      <c r="D114" t="s">
        <v>33</v>
      </c>
      <c r="E114" t="s">
        <v>34</v>
      </c>
      <c r="F114">
        <v>1249</v>
      </c>
      <c r="G114">
        <v>116</v>
      </c>
      <c r="H114">
        <v>420</v>
      </c>
      <c r="I114">
        <v>8743</v>
      </c>
      <c r="J114">
        <v>8538</v>
      </c>
      <c r="K114">
        <v>63</v>
      </c>
      <c r="L114" t="s">
        <v>77</v>
      </c>
      <c r="M114" t="s">
        <v>38</v>
      </c>
      <c r="N114" s="21">
        <v>0.20416333066453163</v>
      </c>
    </row>
    <row r="115" spans="1:14" x14ac:dyDescent="0.3">
      <c r="A115" t="s">
        <v>203</v>
      </c>
      <c r="B115" t="s">
        <v>14</v>
      </c>
      <c r="C115" s="11">
        <v>45460</v>
      </c>
      <c r="D115" t="s">
        <v>49</v>
      </c>
      <c r="E115" t="s">
        <v>50</v>
      </c>
      <c r="F115">
        <v>954</v>
      </c>
      <c r="G115">
        <v>324</v>
      </c>
      <c r="H115">
        <v>288</v>
      </c>
      <c r="I115">
        <v>19080</v>
      </c>
      <c r="J115">
        <v>18859</v>
      </c>
      <c r="K115">
        <v>21</v>
      </c>
      <c r="L115" t="s">
        <v>44</v>
      </c>
      <c r="M115" t="s">
        <v>38</v>
      </c>
      <c r="N115" s="21">
        <v>8.2075471698113203E-2</v>
      </c>
    </row>
    <row r="116" spans="1:14" x14ac:dyDescent="0.3">
      <c r="A116" t="s">
        <v>204</v>
      </c>
      <c r="B116" t="s">
        <v>31</v>
      </c>
      <c r="C116" s="11">
        <v>45574</v>
      </c>
      <c r="D116" t="s">
        <v>42</v>
      </c>
      <c r="E116" t="s">
        <v>43</v>
      </c>
      <c r="F116">
        <v>3068</v>
      </c>
      <c r="G116">
        <v>137</v>
      </c>
      <c r="H116">
        <v>329</v>
      </c>
      <c r="I116">
        <v>39884</v>
      </c>
      <c r="J116">
        <v>39404</v>
      </c>
      <c r="K116">
        <v>266</v>
      </c>
      <c r="L116" t="s">
        <v>18</v>
      </c>
      <c r="M116" t="s">
        <v>38</v>
      </c>
      <c r="N116" s="21">
        <v>8.860696018453515E-2</v>
      </c>
    </row>
    <row r="117" spans="1:14" x14ac:dyDescent="0.3">
      <c r="A117" t="s">
        <v>204</v>
      </c>
      <c r="B117" t="s">
        <v>31</v>
      </c>
      <c r="C117" s="11">
        <v>45574</v>
      </c>
      <c r="D117" t="s">
        <v>42</v>
      </c>
      <c r="E117" t="s">
        <v>43</v>
      </c>
      <c r="F117">
        <v>3068</v>
      </c>
      <c r="G117">
        <v>137</v>
      </c>
      <c r="H117">
        <v>329</v>
      </c>
      <c r="I117">
        <v>39884</v>
      </c>
      <c r="J117">
        <v>39404</v>
      </c>
      <c r="K117">
        <v>266</v>
      </c>
      <c r="L117" t="s">
        <v>44</v>
      </c>
      <c r="M117" t="s">
        <v>38</v>
      </c>
      <c r="N117" s="21">
        <v>8.860696018453515E-2</v>
      </c>
    </row>
    <row r="118" spans="1:14" x14ac:dyDescent="0.3">
      <c r="A118" t="s">
        <v>206</v>
      </c>
      <c r="B118" t="s">
        <v>31</v>
      </c>
      <c r="C118" s="11">
        <v>45456</v>
      </c>
      <c r="D118" t="s">
        <v>33</v>
      </c>
      <c r="E118" t="s">
        <v>34</v>
      </c>
      <c r="F118">
        <v>2103</v>
      </c>
      <c r="G118">
        <v>892</v>
      </c>
      <c r="H118">
        <v>103</v>
      </c>
      <c r="I118">
        <v>39957</v>
      </c>
      <c r="J118">
        <v>39466</v>
      </c>
      <c r="K118">
        <v>28</v>
      </c>
      <c r="L118" t="s">
        <v>77</v>
      </c>
      <c r="M118" t="s">
        <v>25</v>
      </c>
      <c r="N118" s="21">
        <v>7.7533348349475686E-2</v>
      </c>
    </row>
    <row r="119" spans="1:14" x14ac:dyDescent="0.3">
      <c r="A119" t="s">
        <v>206</v>
      </c>
      <c r="B119" t="s">
        <v>31</v>
      </c>
      <c r="C119" s="11">
        <v>45456</v>
      </c>
      <c r="D119" t="s">
        <v>33</v>
      </c>
      <c r="E119" t="s">
        <v>34</v>
      </c>
      <c r="F119">
        <v>2103</v>
      </c>
      <c r="G119">
        <v>892</v>
      </c>
      <c r="H119">
        <v>103</v>
      </c>
      <c r="I119">
        <v>39957</v>
      </c>
      <c r="J119">
        <v>39466</v>
      </c>
      <c r="K119">
        <v>28</v>
      </c>
      <c r="L119" t="s">
        <v>24</v>
      </c>
      <c r="M119" t="s">
        <v>25</v>
      </c>
      <c r="N119" s="21">
        <v>7.7533348349475686E-2</v>
      </c>
    </row>
    <row r="120" spans="1:14" x14ac:dyDescent="0.3">
      <c r="A120" t="s">
        <v>207</v>
      </c>
      <c r="B120" t="s">
        <v>31</v>
      </c>
      <c r="C120" s="11">
        <v>45584</v>
      </c>
      <c r="D120" t="s">
        <v>33</v>
      </c>
      <c r="E120" t="s">
        <v>34</v>
      </c>
      <c r="F120">
        <v>1816</v>
      </c>
      <c r="G120">
        <v>29</v>
      </c>
      <c r="H120">
        <v>41</v>
      </c>
      <c r="I120">
        <v>19976</v>
      </c>
      <c r="J120">
        <v>19262</v>
      </c>
      <c r="K120">
        <v>283</v>
      </c>
      <c r="L120" t="s">
        <v>44</v>
      </c>
      <c r="M120" t="s">
        <v>38</v>
      </c>
      <c r="N120" s="21">
        <v>9.4413295955146179E-2</v>
      </c>
    </row>
    <row r="121" spans="1:14" x14ac:dyDescent="0.3">
      <c r="A121" t="s">
        <v>207</v>
      </c>
      <c r="B121" t="s">
        <v>31</v>
      </c>
      <c r="C121" s="11">
        <v>45584</v>
      </c>
      <c r="D121" t="s">
        <v>33</v>
      </c>
      <c r="E121" t="s">
        <v>34</v>
      </c>
      <c r="F121">
        <v>1816</v>
      </c>
      <c r="G121">
        <v>29</v>
      </c>
      <c r="H121">
        <v>41</v>
      </c>
      <c r="I121">
        <v>19976</v>
      </c>
      <c r="J121">
        <v>19262</v>
      </c>
      <c r="K121">
        <v>283</v>
      </c>
      <c r="L121" t="s">
        <v>18</v>
      </c>
      <c r="M121" t="s">
        <v>38</v>
      </c>
      <c r="N121" s="21">
        <v>9.4413295955146179E-2</v>
      </c>
    </row>
    <row r="122" spans="1:14" x14ac:dyDescent="0.3">
      <c r="A122" t="s">
        <v>210</v>
      </c>
      <c r="B122" t="s">
        <v>31</v>
      </c>
      <c r="C122" s="11">
        <v>45497</v>
      </c>
      <c r="D122" t="s">
        <v>49</v>
      </c>
      <c r="E122" t="s">
        <v>50</v>
      </c>
      <c r="F122">
        <v>725</v>
      </c>
      <c r="G122">
        <v>88</v>
      </c>
      <c r="H122">
        <v>428</v>
      </c>
      <c r="I122">
        <v>14500</v>
      </c>
      <c r="J122">
        <v>13637</v>
      </c>
      <c r="K122">
        <v>200</v>
      </c>
      <c r="L122" t="s">
        <v>44</v>
      </c>
      <c r="M122" t="s">
        <v>38</v>
      </c>
      <c r="N122" s="21">
        <v>8.558620689655172E-2</v>
      </c>
    </row>
    <row r="123" spans="1:14" x14ac:dyDescent="0.3">
      <c r="A123" t="s">
        <v>212</v>
      </c>
      <c r="B123" t="s">
        <v>27</v>
      </c>
      <c r="C123" s="11">
        <v>45580</v>
      </c>
      <c r="D123" t="s">
        <v>69</v>
      </c>
      <c r="E123" t="s">
        <v>70</v>
      </c>
      <c r="F123">
        <v>1094</v>
      </c>
      <c r="G123">
        <v>472</v>
      </c>
      <c r="H123">
        <v>21</v>
      </c>
      <c r="I123">
        <v>9846</v>
      </c>
      <c r="J123">
        <v>9609</v>
      </c>
      <c r="K123">
        <v>112</v>
      </c>
      <c r="L123" t="s">
        <v>44</v>
      </c>
      <c r="M123" t="s">
        <v>38</v>
      </c>
      <c r="N123" s="21">
        <v>0.16118220597196831</v>
      </c>
    </row>
    <row r="124" spans="1:14" x14ac:dyDescent="0.3">
      <c r="A124" t="s">
        <v>212</v>
      </c>
      <c r="B124" t="s">
        <v>27</v>
      </c>
      <c r="C124" s="11">
        <v>45580</v>
      </c>
      <c r="D124" t="s">
        <v>69</v>
      </c>
      <c r="E124" t="s">
        <v>70</v>
      </c>
      <c r="F124">
        <v>1094</v>
      </c>
      <c r="G124">
        <v>472</v>
      </c>
      <c r="H124">
        <v>21</v>
      </c>
      <c r="I124">
        <v>9846</v>
      </c>
      <c r="J124">
        <v>9609</v>
      </c>
      <c r="K124">
        <v>112</v>
      </c>
      <c r="L124" t="s">
        <v>58</v>
      </c>
      <c r="M124" t="s">
        <v>38</v>
      </c>
      <c r="N124" s="21">
        <v>0.16118220597196831</v>
      </c>
    </row>
    <row r="125" spans="1:14" x14ac:dyDescent="0.3">
      <c r="A125" t="s">
        <v>215</v>
      </c>
      <c r="B125" t="s">
        <v>40</v>
      </c>
      <c r="C125" s="11">
        <v>45635</v>
      </c>
      <c r="D125" t="s">
        <v>49</v>
      </c>
      <c r="E125" t="s">
        <v>50</v>
      </c>
      <c r="F125">
        <v>1841</v>
      </c>
      <c r="G125">
        <v>851</v>
      </c>
      <c r="H125">
        <v>342</v>
      </c>
      <c r="I125">
        <v>34979</v>
      </c>
      <c r="J125">
        <v>34154</v>
      </c>
      <c r="K125">
        <v>255</v>
      </c>
      <c r="L125" t="s">
        <v>24</v>
      </c>
      <c r="M125" t="s">
        <v>19</v>
      </c>
      <c r="N125" s="21">
        <v>8.6737756939878216E-2</v>
      </c>
    </row>
    <row r="126" spans="1:14" x14ac:dyDescent="0.3">
      <c r="A126" t="s">
        <v>215</v>
      </c>
      <c r="B126" t="s">
        <v>40</v>
      </c>
      <c r="C126" s="11">
        <v>45635</v>
      </c>
      <c r="D126" t="s">
        <v>49</v>
      </c>
      <c r="E126" t="s">
        <v>50</v>
      </c>
      <c r="F126">
        <v>1841</v>
      </c>
      <c r="G126">
        <v>851</v>
      </c>
      <c r="H126">
        <v>342</v>
      </c>
      <c r="I126">
        <v>34979</v>
      </c>
      <c r="J126">
        <v>34154</v>
      </c>
      <c r="K126">
        <v>255</v>
      </c>
      <c r="L126" t="s">
        <v>77</v>
      </c>
      <c r="M126" t="s">
        <v>19</v>
      </c>
      <c r="N126" s="21">
        <v>8.6737756939878216E-2</v>
      </c>
    </row>
    <row r="127" spans="1:14" x14ac:dyDescent="0.3">
      <c r="A127" t="s">
        <v>217</v>
      </c>
      <c r="B127" t="s">
        <v>31</v>
      </c>
      <c r="C127" s="11">
        <v>45766</v>
      </c>
      <c r="D127" t="s">
        <v>49</v>
      </c>
      <c r="E127" t="s">
        <v>50</v>
      </c>
      <c r="F127">
        <v>4177</v>
      </c>
      <c r="G127">
        <v>569</v>
      </c>
      <c r="H127">
        <v>55</v>
      </c>
      <c r="I127">
        <v>25062</v>
      </c>
      <c r="J127">
        <v>24847</v>
      </c>
      <c r="K127">
        <v>230</v>
      </c>
      <c r="L127" t="s">
        <v>24</v>
      </c>
      <c r="M127" t="s">
        <v>19</v>
      </c>
      <c r="N127" s="21">
        <v>0.19156491900087783</v>
      </c>
    </row>
    <row r="128" spans="1:14" x14ac:dyDescent="0.3">
      <c r="A128" t="s">
        <v>218</v>
      </c>
      <c r="B128" t="s">
        <v>27</v>
      </c>
      <c r="C128" s="11">
        <v>45684</v>
      </c>
      <c r="D128" t="s">
        <v>22</v>
      </c>
      <c r="E128" t="s">
        <v>23</v>
      </c>
      <c r="F128">
        <v>3428</v>
      </c>
      <c r="G128">
        <v>305</v>
      </c>
      <c r="H128">
        <v>85</v>
      </c>
      <c r="I128">
        <v>58276</v>
      </c>
      <c r="J128">
        <v>58052</v>
      </c>
      <c r="K128">
        <v>242</v>
      </c>
      <c r="L128" t="s">
        <v>44</v>
      </c>
      <c r="M128" t="s">
        <v>38</v>
      </c>
      <c r="N128" s="21">
        <v>6.5515821264328367E-2</v>
      </c>
    </row>
    <row r="129" spans="1:14" x14ac:dyDescent="0.3">
      <c r="A129" t="s">
        <v>218</v>
      </c>
      <c r="B129" t="s">
        <v>27</v>
      </c>
      <c r="C129" s="11">
        <v>45684</v>
      </c>
      <c r="D129" t="s">
        <v>22</v>
      </c>
      <c r="E129" t="s">
        <v>23</v>
      </c>
      <c r="F129">
        <v>3428</v>
      </c>
      <c r="G129">
        <v>305</v>
      </c>
      <c r="H129">
        <v>85</v>
      </c>
      <c r="I129">
        <v>58276</v>
      </c>
      <c r="J129">
        <v>58052</v>
      </c>
      <c r="K129">
        <v>242</v>
      </c>
      <c r="L129" t="s">
        <v>58</v>
      </c>
      <c r="M129" t="s">
        <v>38</v>
      </c>
      <c r="N129" s="21">
        <v>6.5515821264328367E-2</v>
      </c>
    </row>
    <row r="130" spans="1:14" x14ac:dyDescent="0.3">
      <c r="A130" t="s">
        <v>220</v>
      </c>
      <c r="B130" t="s">
        <v>14</v>
      </c>
      <c r="C130" s="11">
        <v>45449</v>
      </c>
      <c r="D130" t="s">
        <v>69</v>
      </c>
      <c r="E130" t="s">
        <v>70</v>
      </c>
      <c r="F130">
        <v>1436</v>
      </c>
      <c r="G130">
        <v>765</v>
      </c>
      <c r="H130">
        <v>496</v>
      </c>
      <c r="I130">
        <v>12924</v>
      </c>
      <c r="J130">
        <v>12701</v>
      </c>
      <c r="K130">
        <v>197</v>
      </c>
      <c r="L130" t="s">
        <v>44</v>
      </c>
      <c r="M130" t="s">
        <v>25</v>
      </c>
      <c r="N130" s="21">
        <v>0.20868152274837512</v>
      </c>
    </row>
    <row r="131" spans="1:14" x14ac:dyDescent="0.3">
      <c r="A131" t="s">
        <v>220</v>
      </c>
      <c r="B131" t="s">
        <v>14</v>
      </c>
      <c r="C131" s="11">
        <v>45449</v>
      </c>
      <c r="D131" t="s">
        <v>69</v>
      </c>
      <c r="E131" t="s">
        <v>70</v>
      </c>
      <c r="F131">
        <v>1436</v>
      </c>
      <c r="G131">
        <v>765</v>
      </c>
      <c r="H131">
        <v>496</v>
      </c>
      <c r="I131">
        <v>12924</v>
      </c>
      <c r="J131">
        <v>12701</v>
      </c>
      <c r="K131">
        <v>197</v>
      </c>
      <c r="L131" t="s">
        <v>18</v>
      </c>
      <c r="M131" t="s">
        <v>25</v>
      </c>
      <c r="N131" s="21">
        <v>0.20868152274837512</v>
      </c>
    </row>
    <row r="132" spans="1:14" x14ac:dyDescent="0.3">
      <c r="A132" t="s">
        <v>222</v>
      </c>
      <c r="B132" t="s">
        <v>40</v>
      </c>
      <c r="C132" s="11">
        <v>45480</v>
      </c>
      <c r="D132" t="s">
        <v>33</v>
      </c>
      <c r="E132" t="s">
        <v>34</v>
      </c>
      <c r="F132">
        <v>302</v>
      </c>
      <c r="G132">
        <v>47</v>
      </c>
      <c r="H132">
        <v>430</v>
      </c>
      <c r="I132">
        <v>5738</v>
      </c>
      <c r="J132">
        <v>4890</v>
      </c>
      <c r="K132">
        <v>25</v>
      </c>
      <c r="L132" t="s">
        <v>24</v>
      </c>
      <c r="M132" t="s">
        <v>25</v>
      </c>
      <c r="N132" s="21">
        <v>0.13576158940397351</v>
      </c>
    </row>
    <row r="133" spans="1:14" x14ac:dyDescent="0.3">
      <c r="A133" t="s">
        <v>222</v>
      </c>
      <c r="B133" t="s">
        <v>40</v>
      </c>
      <c r="C133" s="11">
        <v>45480</v>
      </c>
      <c r="D133" t="s">
        <v>33</v>
      </c>
      <c r="E133" t="s">
        <v>34</v>
      </c>
      <c r="F133">
        <v>302</v>
      </c>
      <c r="G133">
        <v>47</v>
      </c>
      <c r="H133">
        <v>430</v>
      </c>
      <c r="I133">
        <v>5738</v>
      </c>
      <c r="J133">
        <v>4890</v>
      </c>
      <c r="K133">
        <v>25</v>
      </c>
      <c r="L133" t="s">
        <v>18</v>
      </c>
      <c r="M133" t="s">
        <v>25</v>
      </c>
      <c r="N133" s="21">
        <v>0.13576158940397351</v>
      </c>
    </row>
    <row r="134" spans="1:14" x14ac:dyDescent="0.3">
      <c r="A134" t="s">
        <v>224</v>
      </c>
      <c r="B134" t="s">
        <v>14</v>
      </c>
      <c r="C134" s="11">
        <v>45667</v>
      </c>
      <c r="D134" t="s">
        <v>49</v>
      </c>
      <c r="E134" t="s">
        <v>50</v>
      </c>
      <c r="F134">
        <v>2214</v>
      </c>
      <c r="G134">
        <v>249</v>
      </c>
      <c r="H134">
        <v>152</v>
      </c>
      <c r="I134">
        <v>15498</v>
      </c>
      <c r="J134">
        <v>14800</v>
      </c>
      <c r="K134">
        <v>180</v>
      </c>
      <c r="L134" t="s">
        <v>18</v>
      </c>
      <c r="M134" t="s">
        <v>25</v>
      </c>
      <c r="N134" s="21">
        <v>0.16873144921925409</v>
      </c>
    </row>
    <row r="135" spans="1:14" x14ac:dyDescent="0.3">
      <c r="A135" t="s">
        <v>226</v>
      </c>
      <c r="B135" t="s">
        <v>31</v>
      </c>
      <c r="C135" s="11">
        <v>45446</v>
      </c>
      <c r="D135" t="s">
        <v>49</v>
      </c>
      <c r="E135" t="s">
        <v>50</v>
      </c>
      <c r="F135">
        <v>3861</v>
      </c>
      <c r="G135">
        <v>960</v>
      </c>
      <c r="H135">
        <v>101</v>
      </c>
      <c r="I135">
        <v>69498</v>
      </c>
      <c r="J135">
        <v>68817</v>
      </c>
      <c r="K135">
        <v>297</v>
      </c>
      <c r="L135" t="s">
        <v>24</v>
      </c>
      <c r="M135" t="s">
        <v>25</v>
      </c>
      <c r="N135" s="21">
        <v>7.0822181933293038E-2</v>
      </c>
    </row>
    <row r="136" spans="1:14" x14ac:dyDescent="0.3">
      <c r="A136" t="s">
        <v>228</v>
      </c>
      <c r="B136" t="s">
        <v>40</v>
      </c>
      <c r="C136" s="11">
        <v>45740</v>
      </c>
      <c r="D136" t="s">
        <v>49</v>
      </c>
      <c r="E136" t="s">
        <v>50</v>
      </c>
      <c r="F136">
        <v>1263</v>
      </c>
      <c r="G136">
        <v>397</v>
      </c>
      <c r="H136">
        <v>357</v>
      </c>
      <c r="I136">
        <v>25260</v>
      </c>
      <c r="J136">
        <v>24615</v>
      </c>
      <c r="K136">
        <v>137</v>
      </c>
      <c r="L136" t="s">
        <v>18</v>
      </c>
      <c r="M136" t="s">
        <v>25</v>
      </c>
      <c r="N136" s="21">
        <v>7.984956452889945E-2</v>
      </c>
    </row>
    <row r="137" spans="1:14" x14ac:dyDescent="0.3">
      <c r="A137" t="s">
        <v>230</v>
      </c>
      <c r="B137" t="s">
        <v>14</v>
      </c>
      <c r="C137" s="11">
        <v>45586</v>
      </c>
      <c r="D137" t="s">
        <v>33</v>
      </c>
      <c r="E137" t="s">
        <v>34</v>
      </c>
      <c r="F137">
        <v>3801</v>
      </c>
      <c r="G137">
        <v>967</v>
      </c>
      <c r="H137">
        <v>401</v>
      </c>
      <c r="I137">
        <v>38010</v>
      </c>
      <c r="J137">
        <v>37625</v>
      </c>
      <c r="K137">
        <v>236</v>
      </c>
      <c r="L137" t="s">
        <v>58</v>
      </c>
      <c r="M137" t="s">
        <v>55</v>
      </c>
      <c r="N137" s="21">
        <v>0.13599052880820836</v>
      </c>
    </row>
    <row r="138" spans="1:14" x14ac:dyDescent="0.3">
      <c r="A138" t="s">
        <v>231</v>
      </c>
      <c r="B138" t="s">
        <v>31</v>
      </c>
      <c r="C138" s="11">
        <v>45637</v>
      </c>
      <c r="D138" t="s">
        <v>69</v>
      </c>
      <c r="E138" t="s">
        <v>70</v>
      </c>
      <c r="F138">
        <v>1431</v>
      </c>
      <c r="G138">
        <v>951</v>
      </c>
      <c r="H138">
        <v>26</v>
      </c>
      <c r="I138">
        <v>8586</v>
      </c>
      <c r="J138">
        <v>8396</v>
      </c>
      <c r="K138">
        <v>150</v>
      </c>
      <c r="L138" t="s">
        <v>44</v>
      </c>
      <c r="M138" t="s">
        <v>19</v>
      </c>
      <c r="N138" s="21">
        <v>0.28045655718611695</v>
      </c>
    </row>
    <row r="139" spans="1:14" x14ac:dyDescent="0.3">
      <c r="A139" t="s">
        <v>231</v>
      </c>
      <c r="B139" t="s">
        <v>31</v>
      </c>
      <c r="C139" s="11">
        <v>45637</v>
      </c>
      <c r="D139" t="s">
        <v>69</v>
      </c>
      <c r="E139" t="s">
        <v>70</v>
      </c>
      <c r="F139">
        <v>1431</v>
      </c>
      <c r="G139">
        <v>951</v>
      </c>
      <c r="H139">
        <v>26</v>
      </c>
      <c r="I139">
        <v>8586</v>
      </c>
      <c r="J139">
        <v>8396</v>
      </c>
      <c r="K139">
        <v>150</v>
      </c>
      <c r="L139" t="s">
        <v>77</v>
      </c>
      <c r="M139" t="s">
        <v>19</v>
      </c>
      <c r="N139" s="21">
        <v>0.28045655718611695</v>
      </c>
    </row>
    <row r="140" spans="1:14" x14ac:dyDescent="0.3">
      <c r="A140" t="s">
        <v>233</v>
      </c>
      <c r="B140" t="s">
        <v>31</v>
      </c>
      <c r="C140" s="11">
        <v>45603</v>
      </c>
      <c r="D140" t="s">
        <v>49</v>
      </c>
      <c r="E140" t="s">
        <v>50</v>
      </c>
      <c r="F140">
        <v>2647</v>
      </c>
      <c r="G140">
        <v>304</v>
      </c>
      <c r="H140">
        <v>170</v>
      </c>
      <c r="I140">
        <v>18529</v>
      </c>
      <c r="J140">
        <v>17841</v>
      </c>
      <c r="K140">
        <v>46</v>
      </c>
      <c r="L140" t="s">
        <v>58</v>
      </c>
      <c r="M140" t="s">
        <v>25</v>
      </c>
      <c r="N140" s="21">
        <v>0.16843866371633656</v>
      </c>
    </row>
    <row r="141" spans="1:14" x14ac:dyDescent="0.3">
      <c r="A141" t="s">
        <v>234</v>
      </c>
      <c r="B141" t="s">
        <v>31</v>
      </c>
      <c r="C141" s="11">
        <v>45604</v>
      </c>
      <c r="D141" t="s">
        <v>22</v>
      </c>
      <c r="E141" t="s">
        <v>23</v>
      </c>
      <c r="F141">
        <v>3182</v>
      </c>
      <c r="G141">
        <v>559</v>
      </c>
      <c r="H141">
        <v>160</v>
      </c>
      <c r="I141">
        <v>57276</v>
      </c>
      <c r="J141">
        <v>56890</v>
      </c>
      <c r="K141">
        <v>163</v>
      </c>
      <c r="L141" t="s">
        <v>58</v>
      </c>
      <c r="M141" t="s">
        <v>25</v>
      </c>
      <c r="N141" s="21">
        <v>6.8108806480899509E-2</v>
      </c>
    </row>
    <row r="142" spans="1:14" x14ac:dyDescent="0.3">
      <c r="A142" t="s">
        <v>234</v>
      </c>
      <c r="B142" t="s">
        <v>31</v>
      </c>
      <c r="C142" s="11">
        <v>45604</v>
      </c>
      <c r="D142" t="s">
        <v>22</v>
      </c>
      <c r="E142" t="s">
        <v>23</v>
      </c>
      <c r="F142">
        <v>3182</v>
      </c>
      <c r="G142">
        <v>559</v>
      </c>
      <c r="H142">
        <v>160</v>
      </c>
      <c r="I142">
        <v>57276</v>
      </c>
      <c r="J142">
        <v>56890</v>
      </c>
      <c r="K142">
        <v>163</v>
      </c>
      <c r="L142" t="s">
        <v>44</v>
      </c>
      <c r="M142" t="s">
        <v>25</v>
      </c>
      <c r="N142" s="21">
        <v>6.8108806480899509E-2</v>
      </c>
    </row>
    <row r="143" spans="1:14" x14ac:dyDescent="0.3">
      <c r="A143" t="s">
        <v>236</v>
      </c>
      <c r="B143" t="s">
        <v>14</v>
      </c>
      <c r="C143" s="11">
        <v>45545</v>
      </c>
      <c r="D143" t="s">
        <v>49</v>
      </c>
      <c r="E143" t="s">
        <v>50</v>
      </c>
      <c r="F143">
        <v>1238</v>
      </c>
      <c r="G143">
        <v>366</v>
      </c>
      <c r="H143">
        <v>444</v>
      </c>
      <c r="I143">
        <v>19808</v>
      </c>
      <c r="J143">
        <v>19334</v>
      </c>
      <c r="K143">
        <v>123</v>
      </c>
      <c r="L143" t="s">
        <v>77</v>
      </c>
      <c r="M143" t="s">
        <v>38</v>
      </c>
      <c r="N143" s="21">
        <v>0.10339256865912763</v>
      </c>
    </row>
    <row r="144" spans="1:14" x14ac:dyDescent="0.3">
      <c r="A144" t="s">
        <v>238</v>
      </c>
      <c r="B144" t="s">
        <v>31</v>
      </c>
      <c r="C144" s="11">
        <v>45517</v>
      </c>
      <c r="D144" t="s">
        <v>49</v>
      </c>
      <c r="E144" t="s">
        <v>50</v>
      </c>
      <c r="F144">
        <v>4739</v>
      </c>
      <c r="G144">
        <v>527</v>
      </c>
      <c r="H144">
        <v>135</v>
      </c>
      <c r="I144">
        <v>61607</v>
      </c>
      <c r="J144">
        <v>61333</v>
      </c>
      <c r="K144">
        <v>36</v>
      </c>
      <c r="L144" t="s">
        <v>58</v>
      </c>
      <c r="M144" t="s">
        <v>25</v>
      </c>
      <c r="N144" s="21">
        <v>8.7668609086629767E-2</v>
      </c>
    </row>
    <row r="145" spans="1:14" x14ac:dyDescent="0.3">
      <c r="A145" t="s">
        <v>238</v>
      </c>
      <c r="B145" t="s">
        <v>31</v>
      </c>
      <c r="C145" s="11">
        <v>45517</v>
      </c>
      <c r="D145" t="s">
        <v>49</v>
      </c>
      <c r="E145" t="s">
        <v>50</v>
      </c>
      <c r="F145">
        <v>4739</v>
      </c>
      <c r="G145">
        <v>527</v>
      </c>
      <c r="H145">
        <v>135</v>
      </c>
      <c r="I145">
        <v>61607</v>
      </c>
      <c r="J145">
        <v>61333</v>
      </c>
      <c r="K145">
        <v>36</v>
      </c>
      <c r="L145" t="s">
        <v>18</v>
      </c>
      <c r="M145" t="s">
        <v>25</v>
      </c>
      <c r="N145" s="21">
        <v>8.7668609086629767E-2</v>
      </c>
    </row>
    <row r="146" spans="1:14" x14ac:dyDescent="0.3">
      <c r="A146" t="s">
        <v>240</v>
      </c>
      <c r="B146" t="s">
        <v>14</v>
      </c>
      <c r="C146" s="11">
        <v>45453</v>
      </c>
      <c r="D146" t="s">
        <v>33</v>
      </c>
      <c r="E146" t="s">
        <v>34</v>
      </c>
      <c r="F146">
        <v>1575</v>
      </c>
      <c r="G146">
        <v>771</v>
      </c>
      <c r="H146">
        <v>486</v>
      </c>
      <c r="I146">
        <v>25200</v>
      </c>
      <c r="J146">
        <v>24826</v>
      </c>
      <c r="K146">
        <v>17</v>
      </c>
      <c r="L146" t="s">
        <v>58</v>
      </c>
      <c r="M146" t="s">
        <v>38</v>
      </c>
      <c r="N146" s="21">
        <v>0.11238095238095239</v>
      </c>
    </row>
    <row r="147" spans="1:14" x14ac:dyDescent="0.3">
      <c r="A147" t="s">
        <v>241</v>
      </c>
      <c r="B147" t="s">
        <v>27</v>
      </c>
      <c r="C147" s="11">
        <v>45475</v>
      </c>
      <c r="D147" t="s">
        <v>42</v>
      </c>
      <c r="E147" t="s">
        <v>43</v>
      </c>
      <c r="F147">
        <v>4171</v>
      </c>
      <c r="G147">
        <v>548</v>
      </c>
      <c r="H147">
        <v>86</v>
      </c>
      <c r="I147">
        <v>66736</v>
      </c>
      <c r="J147">
        <v>66634</v>
      </c>
      <c r="K147">
        <v>173</v>
      </c>
      <c r="L147" t="s">
        <v>58</v>
      </c>
      <c r="M147" t="s">
        <v>38</v>
      </c>
      <c r="N147" s="21">
        <v>7.2000119875329657E-2</v>
      </c>
    </row>
    <row r="148" spans="1:14" x14ac:dyDescent="0.3">
      <c r="A148" t="s">
        <v>243</v>
      </c>
      <c r="B148" t="s">
        <v>27</v>
      </c>
      <c r="C148" s="11">
        <v>45698</v>
      </c>
      <c r="D148" t="s">
        <v>69</v>
      </c>
      <c r="E148" t="s">
        <v>70</v>
      </c>
      <c r="F148">
        <v>1766</v>
      </c>
      <c r="G148">
        <v>92</v>
      </c>
      <c r="H148">
        <v>424</v>
      </c>
      <c r="I148">
        <v>24724</v>
      </c>
      <c r="J148">
        <v>24333</v>
      </c>
      <c r="K148">
        <v>52</v>
      </c>
      <c r="L148" t="s">
        <v>58</v>
      </c>
      <c r="M148" t="s">
        <v>19</v>
      </c>
      <c r="N148" s="21">
        <v>9.2298980747451867E-2</v>
      </c>
    </row>
    <row r="149" spans="1:14" x14ac:dyDescent="0.3">
      <c r="A149" t="s">
        <v>245</v>
      </c>
      <c r="B149" t="s">
        <v>27</v>
      </c>
      <c r="C149" s="11">
        <v>45583</v>
      </c>
      <c r="D149" t="s">
        <v>69</v>
      </c>
      <c r="E149" t="s">
        <v>70</v>
      </c>
      <c r="F149">
        <v>4450</v>
      </c>
      <c r="G149">
        <v>983</v>
      </c>
      <c r="H149">
        <v>143</v>
      </c>
      <c r="I149">
        <v>75650</v>
      </c>
      <c r="J149">
        <v>75008</v>
      </c>
      <c r="K149">
        <v>12</v>
      </c>
      <c r="L149" t="s">
        <v>18</v>
      </c>
      <c r="M149" t="s">
        <v>25</v>
      </c>
      <c r="N149" s="21">
        <v>7.3707865168539333E-2</v>
      </c>
    </row>
    <row r="150" spans="1:14" x14ac:dyDescent="0.3">
      <c r="A150" t="s">
        <v>245</v>
      </c>
      <c r="B150" t="s">
        <v>27</v>
      </c>
      <c r="C150" s="11">
        <v>45583</v>
      </c>
      <c r="D150" t="s">
        <v>69</v>
      </c>
      <c r="E150" t="s">
        <v>70</v>
      </c>
      <c r="F150">
        <v>4450</v>
      </c>
      <c r="G150">
        <v>983</v>
      </c>
      <c r="H150">
        <v>143</v>
      </c>
      <c r="I150">
        <v>75650</v>
      </c>
      <c r="J150">
        <v>75008</v>
      </c>
      <c r="K150">
        <v>12</v>
      </c>
      <c r="L150" t="s">
        <v>58</v>
      </c>
      <c r="M150" t="s">
        <v>25</v>
      </c>
      <c r="N150" s="21">
        <v>7.3707865168539333E-2</v>
      </c>
    </row>
    <row r="151" spans="1:14" x14ac:dyDescent="0.3">
      <c r="A151" t="s">
        <v>246</v>
      </c>
      <c r="B151" t="s">
        <v>14</v>
      </c>
      <c r="C151" s="11">
        <v>45553</v>
      </c>
      <c r="D151" t="s">
        <v>16</v>
      </c>
      <c r="E151" t="s">
        <v>17</v>
      </c>
      <c r="F151">
        <v>1000</v>
      </c>
      <c r="G151">
        <v>978</v>
      </c>
      <c r="H151">
        <v>162</v>
      </c>
      <c r="I151">
        <v>6000</v>
      </c>
      <c r="J151">
        <v>5221</v>
      </c>
      <c r="K151">
        <v>223</v>
      </c>
      <c r="L151" t="s">
        <v>44</v>
      </c>
      <c r="M151" t="s">
        <v>38</v>
      </c>
      <c r="N151" s="21">
        <v>0.35666666666666669</v>
      </c>
    </row>
    <row r="152" spans="1:14" x14ac:dyDescent="0.3">
      <c r="A152" t="s">
        <v>246</v>
      </c>
      <c r="B152" t="s">
        <v>14</v>
      </c>
      <c r="C152" s="11">
        <v>45553</v>
      </c>
      <c r="D152" t="s">
        <v>16</v>
      </c>
      <c r="E152" t="s">
        <v>17</v>
      </c>
      <c r="F152">
        <v>1000</v>
      </c>
      <c r="G152">
        <v>978</v>
      </c>
      <c r="H152">
        <v>162</v>
      </c>
      <c r="I152">
        <v>6000</v>
      </c>
      <c r="J152">
        <v>5221</v>
      </c>
      <c r="K152">
        <v>223</v>
      </c>
      <c r="L152" t="s">
        <v>24</v>
      </c>
      <c r="M152" t="s">
        <v>38</v>
      </c>
      <c r="N152" s="21">
        <v>0.35666666666666669</v>
      </c>
    </row>
    <row r="153" spans="1:14" x14ac:dyDescent="0.3">
      <c r="A153" t="s">
        <v>248</v>
      </c>
      <c r="B153" t="s">
        <v>40</v>
      </c>
      <c r="C153" s="11">
        <v>45454</v>
      </c>
      <c r="D153" t="s">
        <v>49</v>
      </c>
      <c r="E153" t="s">
        <v>50</v>
      </c>
      <c r="F153">
        <v>3689</v>
      </c>
      <c r="G153">
        <v>48</v>
      </c>
      <c r="H153">
        <v>306</v>
      </c>
      <c r="I153">
        <v>40579</v>
      </c>
      <c r="J153">
        <v>39588</v>
      </c>
      <c r="K153">
        <v>212</v>
      </c>
      <c r="L153" t="s">
        <v>44</v>
      </c>
      <c r="M153" t="s">
        <v>19</v>
      </c>
      <c r="N153" s="21">
        <v>9.9632815002833983E-2</v>
      </c>
    </row>
    <row r="154" spans="1:14" x14ac:dyDescent="0.3">
      <c r="A154" t="s">
        <v>250</v>
      </c>
      <c r="B154" t="s">
        <v>27</v>
      </c>
      <c r="C154" s="11">
        <v>45739</v>
      </c>
      <c r="D154" t="s">
        <v>33</v>
      </c>
      <c r="E154" t="s">
        <v>34</v>
      </c>
      <c r="F154">
        <v>3655</v>
      </c>
      <c r="G154">
        <v>568</v>
      </c>
      <c r="H154">
        <v>286</v>
      </c>
      <c r="I154">
        <v>32895</v>
      </c>
      <c r="J154">
        <v>32015</v>
      </c>
      <c r="K154">
        <v>199</v>
      </c>
      <c r="L154" t="s">
        <v>44</v>
      </c>
      <c r="M154" t="s">
        <v>55</v>
      </c>
      <c r="N154" s="21">
        <v>0.13707250341997265</v>
      </c>
    </row>
    <row r="155" spans="1:14" x14ac:dyDescent="0.3">
      <c r="A155" t="s">
        <v>252</v>
      </c>
      <c r="B155" t="s">
        <v>31</v>
      </c>
      <c r="C155" s="11">
        <v>45457</v>
      </c>
      <c r="D155" t="s">
        <v>42</v>
      </c>
      <c r="E155" t="s">
        <v>43</v>
      </c>
      <c r="F155">
        <v>498</v>
      </c>
      <c r="G155">
        <v>38</v>
      </c>
      <c r="H155">
        <v>42</v>
      </c>
      <c r="I155">
        <v>4482</v>
      </c>
      <c r="J155">
        <v>3647</v>
      </c>
      <c r="K155">
        <v>32</v>
      </c>
      <c r="L155" t="s">
        <v>58</v>
      </c>
      <c r="M155" t="s">
        <v>55</v>
      </c>
      <c r="N155" s="21">
        <v>0.12896028558679162</v>
      </c>
    </row>
    <row r="156" spans="1:14" x14ac:dyDescent="0.3">
      <c r="A156" t="s">
        <v>252</v>
      </c>
      <c r="B156" t="s">
        <v>31</v>
      </c>
      <c r="C156" s="11">
        <v>45457</v>
      </c>
      <c r="D156" t="s">
        <v>42</v>
      </c>
      <c r="E156" t="s">
        <v>43</v>
      </c>
      <c r="F156">
        <v>498</v>
      </c>
      <c r="G156">
        <v>38</v>
      </c>
      <c r="H156">
        <v>42</v>
      </c>
      <c r="I156">
        <v>4482</v>
      </c>
      <c r="J156">
        <v>3647</v>
      </c>
      <c r="K156">
        <v>32</v>
      </c>
      <c r="L156" t="s">
        <v>77</v>
      </c>
      <c r="M156" t="s">
        <v>55</v>
      </c>
      <c r="N156" s="21">
        <v>0.12896028558679162</v>
      </c>
    </row>
    <row r="157" spans="1:14" x14ac:dyDescent="0.3">
      <c r="A157" t="s">
        <v>254</v>
      </c>
      <c r="B157" t="s">
        <v>31</v>
      </c>
      <c r="C157" s="11">
        <v>45692</v>
      </c>
      <c r="D157" t="s">
        <v>49</v>
      </c>
      <c r="E157" t="s">
        <v>50</v>
      </c>
      <c r="F157">
        <v>4619</v>
      </c>
      <c r="G157">
        <v>821</v>
      </c>
      <c r="H157">
        <v>499</v>
      </c>
      <c r="I157">
        <v>69285</v>
      </c>
      <c r="J157">
        <v>69141</v>
      </c>
      <c r="K157">
        <v>298</v>
      </c>
      <c r="L157" t="s">
        <v>24</v>
      </c>
      <c r="M157" t="s">
        <v>19</v>
      </c>
      <c r="N157" s="21">
        <v>8.5718409468138843E-2</v>
      </c>
    </row>
    <row r="158" spans="1:14" x14ac:dyDescent="0.3">
      <c r="A158" t="s">
        <v>256</v>
      </c>
      <c r="B158" t="s">
        <v>27</v>
      </c>
      <c r="C158" s="11">
        <v>45464</v>
      </c>
      <c r="D158" t="s">
        <v>49</v>
      </c>
      <c r="E158" t="s">
        <v>50</v>
      </c>
      <c r="F158">
        <v>4832</v>
      </c>
      <c r="G158">
        <v>893</v>
      </c>
      <c r="H158">
        <v>10</v>
      </c>
      <c r="I158">
        <v>91808</v>
      </c>
      <c r="J158">
        <v>91296</v>
      </c>
      <c r="K158">
        <v>182</v>
      </c>
      <c r="L158" t="s">
        <v>18</v>
      </c>
      <c r="M158" t="s">
        <v>38</v>
      </c>
      <c r="N158" s="21">
        <v>6.2467323109097243E-2</v>
      </c>
    </row>
    <row r="159" spans="1:14" x14ac:dyDescent="0.3">
      <c r="A159" t="s">
        <v>256</v>
      </c>
      <c r="B159" t="s">
        <v>27</v>
      </c>
      <c r="C159" s="11">
        <v>45464</v>
      </c>
      <c r="D159" t="s">
        <v>49</v>
      </c>
      <c r="E159" t="s">
        <v>50</v>
      </c>
      <c r="F159">
        <v>4832</v>
      </c>
      <c r="G159">
        <v>893</v>
      </c>
      <c r="H159">
        <v>10</v>
      </c>
      <c r="I159">
        <v>91808</v>
      </c>
      <c r="J159">
        <v>91296</v>
      </c>
      <c r="K159">
        <v>182</v>
      </c>
      <c r="L159" t="s">
        <v>58</v>
      </c>
      <c r="M159" t="s">
        <v>38</v>
      </c>
      <c r="N159" s="21">
        <v>6.2467323109097243E-2</v>
      </c>
    </row>
    <row r="160" spans="1:14" x14ac:dyDescent="0.3">
      <c r="A160" t="s">
        <v>258</v>
      </c>
      <c r="B160" t="s">
        <v>14</v>
      </c>
      <c r="C160" s="11">
        <v>45741</v>
      </c>
      <c r="D160" t="s">
        <v>69</v>
      </c>
      <c r="E160" t="s">
        <v>70</v>
      </c>
      <c r="F160">
        <v>4050</v>
      </c>
      <c r="G160">
        <v>871</v>
      </c>
      <c r="H160">
        <v>347</v>
      </c>
      <c r="I160">
        <v>52650</v>
      </c>
      <c r="J160">
        <v>51755</v>
      </c>
      <c r="K160">
        <v>209</v>
      </c>
      <c r="L160" t="s">
        <v>58</v>
      </c>
      <c r="M160" t="s">
        <v>19</v>
      </c>
      <c r="N160" s="21">
        <v>0.10005698005698006</v>
      </c>
    </row>
    <row r="161" spans="1:14" x14ac:dyDescent="0.3">
      <c r="A161" t="s">
        <v>258</v>
      </c>
      <c r="B161" t="s">
        <v>14</v>
      </c>
      <c r="C161" s="11">
        <v>45741</v>
      </c>
      <c r="D161" t="s">
        <v>69</v>
      </c>
      <c r="E161" t="s">
        <v>70</v>
      </c>
      <c r="F161">
        <v>4050</v>
      </c>
      <c r="G161">
        <v>871</v>
      </c>
      <c r="H161">
        <v>347</v>
      </c>
      <c r="I161">
        <v>52650</v>
      </c>
      <c r="J161">
        <v>51755</v>
      </c>
      <c r="K161">
        <v>209</v>
      </c>
      <c r="L161" t="s">
        <v>77</v>
      </c>
      <c r="M161" t="s">
        <v>19</v>
      </c>
      <c r="N161" s="21">
        <v>0.10005698005698006</v>
      </c>
    </row>
    <row r="162" spans="1:14" x14ac:dyDescent="0.3">
      <c r="A162" t="s">
        <v>260</v>
      </c>
      <c r="B162" t="s">
        <v>14</v>
      </c>
      <c r="C162" s="11">
        <v>45512</v>
      </c>
      <c r="D162" t="s">
        <v>33</v>
      </c>
      <c r="E162" t="s">
        <v>34</v>
      </c>
      <c r="F162">
        <v>3649</v>
      </c>
      <c r="G162">
        <v>215</v>
      </c>
      <c r="H162">
        <v>413</v>
      </c>
      <c r="I162">
        <v>25543</v>
      </c>
      <c r="J162">
        <v>24963</v>
      </c>
      <c r="K162">
        <v>167</v>
      </c>
      <c r="L162" t="s">
        <v>24</v>
      </c>
      <c r="M162" t="s">
        <v>19</v>
      </c>
      <c r="N162" s="21">
        <v>0.16744313510550835</v>
      </c>
    </row>
    <row r="163" spans="1:14" x14ac:dyDescent="0.3">
      <c r="A163" t="s">
        <v>260</v>
      </c>
      <c r="B163" t="s">
        <v>14</v>
      </c>
      <c r="C163" s="11">
        <v>45512</v>
      </c>
      <c r="D163" t="s">
        <v>33</v>
      </c>
      <c r="E163" t="s">
        <v>34</v>
      </c>
      <c r="F163">
        <v>3649</v>
      </c>
      <c r="G163">
        <v>215</v>
      </c>
      <c r="H163">
        <v>413</v>
      </c>
      <c r="I163">
        <v>25543</v>
      </c>
      <c r="J163">
        <v>24963</v>
      </c>
      <c r="K163">
        <v>167</v>
      </c>
      <c r="L163" t="s">
        <v>58</v>
      </c>
      <c r="M163" t="s">
        <v>19</v>
      </c>
      <c r="N163" s="21">
        <v>0.16744313510550835</v>
      </c>
    </row>
    <row r="164" spans="1:14" x14ac:dyDescent="0.3">
      <c r="A164" t="s">
        <v>262</v>
      </c>
      <c r="B164" t="s">
        <v>31</v>
      </c>
      <c r="C164" s="11">
        <v>45502</v>
      </c>
      <c r="D164" t="s">
        <v>16</v>
      </c>
      <c r="E164" t="s">
        <v>17</v>
      </c>
      <c r="F164">
        <v>3523</v>
      </c>
      <c r="G164">
        <v>753</v>
      </c>
      <c r="H164">
        <v>482</v>
      </c>
      <c r="I164">
        <v>38753</v>
      </c>
      <c r="J164">
        <v>38579</v>
      </c>
      <c r="K164">
        <v>270</v>
      </c>
      <c r="L164" t="s">
        <v>77</v>
      </c>
      <c r="M164" t="s">
        <v>25</v>
      </c>
      <c r="N164" s="21">
        <v>0.12277759141227776</v>
      </c>
    </row>
    <row r="165" spans="1:14" x14ac:dyDescent="0.3">
      <c r="A165" t="s">
        <v>262</v>
      </c>
      <c r="B165" t="s">
        <v>31</v>
      </c>
      <c r="C165" s="11">
        <v>45502</v>
      </c>
      <c r="D165" t="s">
        <v>16</v>
      </c>
      <c r="E165" t="s">
        <v>17</v>
      </c>
      <c r="F165">
        <v>3523</v>
      </c>
      <c r="G165">
        <v>753</v>
      </c>
      <c r="H165">
        <v>482</v>
      </c>
      <c r="I165">
        <v>38753</v>
      </c>
      <c r="J165">
        <v>38579</v>
      </c>
      <c r="K165">
        <v>270</v>
      </c>
      <c r="L165" t="s">
        <v>58</v>
      </c>
      <c r="M165" t="s">
        <v>25</v>
      </c>
      <c r="N165" s="21">
        <v>0.12277759141227776</v>
      </c>
    </row>
    <row r="166" spans="1:14" x14ac:dyDescent="0.3">
      <c r="A166" t="s">
        <v>265</v>
      </c>
      <c r="B166" t="s">
        <v>27</v>
      </c>
      <c r="C166" s="11">
        <v>45619</v>
      </c>
      <c r="D166" t="s">
        <v>49</v>
      </c>
      <c r="E166" t="s">
        <v>50</v>
      </c>
      <c r="F166">
        <v>2719</v>
      </c>
      <c r="G166">
        <v>17</v>
      </c>
      <c r="H166">
        <v>285</v>
      </c>
      <c r="I166">
        <v>40785</v>
      </c>
      <c r="J166">
        <v>40281</v>
      </c>
      <c r="K166">
        <v>40</v>
      </c>
      <c r="L166" t="s">
        <v>24</v>
      </c>
      <c r="M166" t="s">
        <v>38</v>
      </c>
      <c r="N166" s="21">
        <v>7.4071349760941527E-2</v>
      </c>
    </row>
    <row r="167" spans="1:14" x14ac:dyDescent="0.3">
      <c r="A167" t="s">
        <v>265</v>
      </c>
      <c r="B167" t="s">
        <v>27</v>
      </c>
      <c r="C167" s="11">
        <v>45619</v>
      </c>
      <c r="D167" t="s">
        <v>49</v>
      </c>
      <c r="E167" t="s">
        <v>50</v>
      </c>
      <c r="F167">
        <v>2719</v>
      </c>
      <c r="G167">
        <v>17</v>
      </c>
      <c r="H167">
        <v>285</v>
      </c>
      <c r="I167">
        <v>40785</v>
      </c>
      <c r="J167">
        <v>40281</v>
      </c>
      <c r="K167">
        <v>40</v>
      </c>
      <c r="L167" t="s">
        <v>58</v>
      </c>
      <c r="M167" t="s">
        <v>38</v>
      </c>
      <c r="N167" s="21">
        <v>7.4071349760941527E-2</v>
      </c>
    </row>
    <row r="168" spans="1:14" x14ac:dyDescent="0.3">
      <c r="A168" t="s">
        <v>267</v>
      </c>
      <c r="B168" t="s">
        <v>14</v>
      </c>
      <c r="C168" s="11">
        <v>45570</v>
      </c>
      <c r="D168" t="s">
        <v>33</v>
      </c>
      <c r="E168" t="s">
        <v>34</v>
      </c>
      <c r="F168">
        <v>1957</v>
      </c>
      <c r="G168">
        <v>877</v>
      </c>
      <c r="H168">
        <v>238</v>
      </c>
      <c r="I168">
        <v>17613</v>
      </c>
      <c r="J168">
        <v>16865</v>
      </c>
      <c r="K168">
        <v>297</v>
      </c>
      <c r="L168" t="s">
        <v>24</v>
      </c>
      <c r="M168" t="s">
        <v>38</v>
      </c>
      <c r="N168" s="21">
        <v>0.17441662408448305</v>
      </c>
    </row>
    <row r="169" spans="1:14" x14ac:dyDescent="0.3">
      <c r="A169" t="s">
        <v>267</v>
      </c>
      <c r="B169" t="s">
        <v>14</v>
      </c>
      <c r="C169" s="11">
        <v>45570</v>
      </c>
      <c r="D169" t="s">
        <v>33</v>
      </c>
      <c r="E169" t="s">
        <v>34</v>
      </c>
      <c r="F169">
        <v>1957</v>
      </c>
      <c r="G169">
        <v>877</v>
      </c>
      <c r="H169">
        <v>238</v>
      </c>
      <c r="I169">
        <v>17613</v>
      </c>
      <c r="J169">
        <v>16865</v>
      </c>
      <c r="K169">
        <v>297</v>
      </c>
      <c r="L169" t="s">
        <v>18</v>
      </c>
      <c r="M169" t="s">
        <v>38</v>
      </c>
      <c r="N169" s="21">
        <v>0.17441662408448305</v>
      </c>
    </row>
    <row r="170" spans="1:14" x14ac:dyDescent="0.3">
      <c r="A170" t="s">
        <v>269</v>
      </c>
      <c r="B170" t="s">
        <v>14</v>
      </c>
      <c r="C170" s="11">
        <v>45567</v>
      </c>
      <c r="D170" t="s">
        <v>42</v>
      </c>
      <c r="E170" t="s">
        <v>43</v>
      </c>
      <c r="F170">
        <v>4419</v>
      </c>
      <c r="G170">
        <v>236</v>
      </c>
      <c r="H170">
        <v>369</v>
      </c>
      <c r="I170">
        <v>44190</v>
      </c>
      <c r="J170">
        <v>43582</v>
      </c>
      <c r="K170">
        <v>10</v>
      </c>
      <c r="L170" t="s">
        <v>44</v>
      </c>
      <c r="M170" t="s">
        <v>55</v>
      </c>
      <c r="N170" s="21">
        <v>0.11369088028965829</v>
      </c>
    </row>
    <row r="171" spans="1:14" x14ac:dyDescent="0.3">
      <c r="A171" t="s">
        <v>271</v>
      </c>
      <c r="B171" t="s">
        <v>14</v>
      </c>
      <c r="C171" s="11">
        <v>45610</v>
      </c>
      <c r="D171" t="s">
        <v>33</v>
      </c>
      <c r="E171" t="s">
        <v>34</v>
      </c>
      <c r="F171">
        <v>4000</v>
      </c>
      <c r="G171">
        <v>689</v>
      </c>
      <c r="H171">
        <v>488</v>
      </c>
      <c r="I171">
        <v>40000</v>
      </c>
      <c r="J171">
        <v>39569</v>
      </c>
      <c r="K171">
        <v>44</v>
      </c>
      <c r="L171" t="s">
        <v>77</v>
      </c>
      <c r="M171" t="s">
        <v>38</v>
      </c>
      <c r="N171" s="21">
        <v>0.12942500000000001</v>
      </c>
    </row>
    <row r="172" spans="1:14" x14ac:dyDescent="0.3">
      <c r="A172" t="s">
        <v>271</v>
      </c>
      <c r="B172" t="s">
        <v>14</v>
      </c>
      <c r="C172" s="11">
        <v>45610</v>
      </c>
      <c r="D172" t="s">
        <v>33</v>
      </c>
      <c r="E172" t="s">
        <v>34</v>
      </c>
      <c r="F172">
        <v>4000</v>
      </c>
      <c r="G172">
        <v>689</v>
      </c>
      <c r="H172">
        <v>488</v>
      </c>
      <c r="I172">
        <v>40000</v>
      </c>
      <c r="J172">
        <v>39569</v>
      </c>
      <c r="K172">
        <v>44</v>
      </c>
      <c r="L172" t="s">
        <v>24</v>
      </c>
      <c r="M172" t="s">
        <v>38</v>
      </c>
      <c r="N172" s="21">
        <v>0.12942500000000001</v>
      </c>
    </row>
    <row r="173" spans="1:14" x14ac:dyDescent="0.3">
      <c r="A173" t="s">
        <v>273</v>
      </c>
      <c r="B173" t="s">
        <v>14</v>
      </c>
      <c r="C173" s="11">
        <v>45788</v>
      </c>
      <c r="D173" t="s">
        <v>49</v>
      </c>
      <c r="E173" t="s">
        <v>50</v>
      </c>
      <c r="F173">
        <v>2493</v>
      </c>
      <c r="G173">
        <v>97</v>
      </c>
      <c r="H173">
        <v>44</v>
      </c>
      <c r="I173">
        <v>42381</v>
      </c>
      <c r="J173">
        <v>41991</v>
      </c>
      <c r="K173">
        <v>242</v>
      </c>
      <c r="L173" t="s">
        <v>18</v>
      </c>
      <c r="M173" t="s">
        <v>19</v>
      </c>
      <c r="N173" s="21">
        <v>6.2150491965739366E-2</v>
      </c>
    </row>
    <row r="174" spans="1:14" x14ac:dyDescent="0.3">
      <c r="A174" t="s">
        <v>273</v>
      </c>
      <c r="B174" t="s">
        <v>14</v>
      </c>
      <c r="C174" s="11">
        <v>45788</v>
      </c>
      <c r="D174" t="s">
        <v>49</v>
      </c>
      <c r="E174" t="s">
        <v>50</v>
      </c>
      <c r="F174">
        <v>2493</v>
      </c>
      <c r="G174">
        <v>97</v>
      </c>
      <c r="H174">
        <v>44</v>
      </c>
      <c r="I174">
        <v>42381</v>
      </c>
      <c r="J174">
        <v>41991</v>
      </c>
      <c r="K174">
        <v>242</v>
      </c>
      <c r="L174" t="s">
        <v>58</v>
      </c>
      <c r="M174" t="s">
        <v>19</v>
      </c>
      <c r="N174" s="21">
        <v>6.2150491965739366E-2</v>
      </c>
    </row>
    <row r="175" spans="1:14" x14ac:dyDescent="0.3">
      <c r="A175" t="s">
        <v>275</v>
      </c>
      <c r="B175" t="s">
        <v>27</v>
      </c>
      <c r="C175" s="11">
        <v>45734</v>
      </c>
      <c r="D175" t="s">
        <v>16</v>
      </c>
      <c r="E175" t="s">
        <v>17</v>
      </c>
      <c r="F175">
        <v>3704</v>
      </c>
      <c r="G175">
        <v>186</v>
      </c>
      <c r="H175">
        <v>458</v>
      </c>
      <c r="I175">
        <v>25928</v>
      </c>
      <c r="J175">
        <v>25081</v>
      </c>
      <c r="K175">
        <v>131</v>
      </c>
      <c r="L175" t="s">
        <v>58</v>
      </c>
      <c r="M175" t="s">
        <v>19</v>
      </c>
      <c r="N175" s="21">
        <v>0.16769515581610614</v>
      </c>
    </row>
    <row r="176" spans="1:14" x14ac:dyDescent="0.3">
      <c r="A176" t="s">
        <v>277</v>
      </c>
      <c r="B176" t="s">
        <v>14</v>
      </c>
      <c r="C176" s="11">
        <v>45600</v>
      </c>
      <c r="D176" t="s">
        <v>49</v>
      </c>
      <c r="E176" t="s">
        <v>50</v>
      </c>
      <c r="F176">
        <v>1606</v>
      </c>
      <c r="G176">
        <v>451</v>
      </c>
      <c r="H176">
        <v>405</v>
      </c>
      <c r="I176">
        <v>20878</v>
      </c>
      <c r="J176">
        <v>20190</v>
      </c>
      <c r="K176">
        <v>219</v>
      </c>
      <c r="L176" t="s">
        <v>18</v>
      </c>
      <c r="M176" t="s">
        <v>25</v>
      </c>
      <c r="N176" s="21">
        <v>0.11792317271769326</v>
      </c>
    </row>
    <row r="177" spans="1:14" x14ac:dyDescent="0.3">
      <c r="A177" t="s">
        <v>277</v>
      </c>
      <c r="B177" t="s">
        <v>14</v>
      </c>
      <c r="C177" s="11">
        <v>45600</v>
      </c>
      <c r="D177" t="s">
        <v>49</v>
      </c>
      <c r="E177" t="s">
        <v>50</v>
      </c>
      <c r="F177">
        <v>1606</v>
      </c>
      <c r="G177">
        <v>451</v>
      </c>
      <c r="H177">
        <v>405</v>
      </c>
      <c r="I177">
        <v>20878</v>
      </c>
      <c r="J177">
        <v>20190</v>
      </c>
      <c r="K177">
        <v>219</v>
      </c>
      <c r="L177" t="s">
        <v>58</v>
      </c>
      <c r="M177" t="s">
        <v>25</v>
      </c>
      <c r="N177" s="21">
        <v>0.11792317271769326</v>
      </c>
    </row>
    <row r="178" spans="1:14" x14ac:dyDescent="0.3">
      <c r="A178" t="s">
        <v>279</v>
      </c>
      <c r="B178" t="s">
        <v>40</v>
      </c>
      <c r="C178" s="11">
        <v>45600</v>
      </c>
      <c r="D178" t="s">
        <v>49</v>
      </c>
      <c r="E178" t="s">
        <v>50</v>
      </c>
      <c r="F178">
        <v>4551</v>
      </c>
      <c r="G178">
        <v>714</v>
      </c>
      <c r="H178">
        <v>207</v>
      </c>
      <c r="I178">
        <v>68265</v>
      </c>
      <c r="J178">
        <v>67754</v>
      </c>
      <c r="K178">
        <v>57</v>
      </c>
      <c r="L178" t="s">
        <v>44</v>
      </c>
      <c r="M178" t="s">
        <v>25</v>
      </c>
      <c r="N178" s="21">
        <v>8.0158206987475278E-2</v>
      </c>
    </row>
    <row r="179" spans="1:14" x14ac:dyDescent="0.3">
      <c r="A179" t="s">
        <v>280</v>
      </c>
      <c r="B179" t="s">
        <v>31</v>
      </c>
      <c r="C179" s="11">
        <v>45695</v>
      </c>
      <c r="D179" t="s">
        <v>16</v>
      </c>
      <c r="E179" t="s">
        <v>17</v>
      </c>
      <c r="F179">
        <v>1970</v>
      </c>
      <c r="G179">
        <v>675</v>
      </c>
      <c r="H179">
        <v>478</v>
      </c>
      <c r="I179">
        <v>9850</v>
      </c>
      <c r="J179">
        <v>8924</v>
      </c>
      <c r="K179">
        <v>117</v>
      </c>
      <c r="L179" t="s">
        <v>44</v>
      </c>
      <c r="M179" t="s">
        <v>55</v>
      </c>
      <c r="N179" s="21">
        <v>0.31705583756345179</v>
      </c>
    </row>
    <row r="180" spans="1:14" x14ac:dyDescent="0.3">
      <c r="A180" t="s">
        <v>282</v>
      </c>
      <c r="B180" t="s">
        <v>40</v>
      </c>
      <c r="C180" s="11">
        <v>45586</v>
      </c>
      <c r="D180" t="s">
        <v>33</v>
      </c>
      <c r="E180" t="s">
        <v>34</v>
      </c>
      <c r="F180">
        <v>780</v>
      </c>
      <c r="G180">
        <v>928</v>
      </c>
      <c r="H180">
        <v>301</v>
      </c>
      <c r="I180">
        <v>8580</v>
      </c>
      <c r="J180">
        <v>8081</v>
      </c>
      <c r="K180">
        <v>91</v>
      </c>
      <c r="L180" t="s">
        <v>18</v>
      </c>
      <c r="M180" t="s">
        <v>55</v>
      </c>
      <c r="N180" s="21">
        <v>0.23414918414918415</v>
      </c>
    </row>
    <row r="181" spans="1:14" x14ac:dyDescent="0.3">
      <c r="A181" t="s">
        <v>282</v>
      </c>
      <c r="B181" t="s">
        <v>40</v>
      </c>
      <c r="C181" s="11">
        <v>45586</v>
      </c>
      <c r="D181" t="s">
        <v>33</v>
      </c>
      <c r="E181" t="s">
        <v>34</v>
      </c>
      <c r="F181">
        <v>780</v>
      </c>
      <c r="G181">
        <v>928</v>
      </c>
      <c r="H181">
        <v>301</v>
      </c>
      <c r="I181">
        <v>8580</v>
      </c>
      <c r="J181">
        <v>8081</v>
      </c>
      <c r="K181">
        <v>91</v>
      </c>
      <c r="L181" t="s">
        <v>24</v>
      </c>
      <c r="M181" t="s">
        <v>55</v>
      </c>
      <c r="N181" s="21">
        <v>0.23414918414918415</v>
      </c>
    </row>
    <row r="182" spans="1:14" x14ac:dyDescent="0.3">
      <c r="A182" t="s">
        <v>283</v>
      </c>
      <c r="B182" t="s">
        <v>31</v>
      </c>
      <c r="C182" s="11">
        <v>45502</v>
      </c>
      <c r="D182" t="s">
        <v>33</v>
      </c>
      <c r="E182" t="s">
        <v>34</v>
      </c>
      <c r="F182">
        <v>498</v>
      </c>
      <c r="G182">
        <v>701</v>
      </c>
      <c r="H182">
        <v>412</v>
      </c>
      <c r="I182">
        <v>4980</v>
      </c>
      <c r="J182">
        <v>4185</v>
      </c>
      <c r="K182">
        <v>185</v>
      </c>
      <c r="L182" t="s">
        <v>77</v>
      </c>
      <c r="M182" t="s">
        <v>55</v>
      </c>
      <c r="N182" s="21">
        <v>0.32349397590361445</v>
      </c>
    </row>
    <row r="183" spans="1:14" x14ac:dyDescent="0.3">
      <c r="A183" t="s">
        <v>283</v>
      </c>
      <c r="B183" t="s">
        <v>31</v>
      </c>
      <c r="C183" s="11">
        <v>45502</v>
      </c>
      <c r="D183" t="s">
        <v>33</v>
      </c>
      <c r="E183" t="s">
        <v>34</v>
      </c>
      <c r="F183">
        <v>498</v>
      </c>
      <c r="G183">
        <v>701</v>
      </c>
      <c r="H183">
        <v>412</v>
      </c>
      <c r="I183">
        <v>4980</v>
      </c>
      <c r="J183">
        <v>4185</v>
      </c>
      <c r="K183">
        <v>185</v>
      </c>
      <c r="L183" t="s">
        <v>58</v>
      </c>
      <c r="M183" t="s">
        <v>55</v>
      </c>
      <c r="N183" s="21">
        <v>0.32349397590361445</v>
      </c>
    </row>
    <row r="184" spans="1:14" x14ac:dyDescent="0.3">
      <c r="A184" t="s">
        <v>284</v>
      </c>
      <c r="B184" t="s">
        <v>31</v>
      </c>
      <c r="C184" s="11">
        <v>45567</v>
      </c>
      <c r="D184" t="s">
        <v>22</v>
      </c>
      <c r="E184" t="s">
        <v>23</v>
      </c>
      <c r="F184">
        <v>3432</v>
      </c>
      <c r="G184">
        <v>869</v>
      </c>
      <c r="H184">
        <v>123</v>
      </c>
      <c r="I184">
        <v>54912</v>
      </c>
      <c r="J184">
        <v>53916</v>
      </c>
      <c r="K184">
        <v>264</v>
      </c>
      <c r="L184" t="s">
        <v>24</v>
      </c>
      <c r="M184" t="s">
        <v>25</v>
      </c>
      <c r="N184" s="21">
        <v>8.0565268065268064E-2</v>
      </c>
    </row>
    <row r="185" spans="1:14" x14ac:dyDescent="0.3">
      <c r="A185" t="s">
        <v>284</v>
      </c>
      <c r="B185" t="s">
        <v>31</v>
      </c>
      <c r="C185" s="11">
        <v>45567</v>
      </c>
      <c r="D185" t="s">
        <v>22</v>
      </c>
      <c r="E185" t="s">
        <v>23</v>
      </c>
      <c r="F185">
        <v>3432</v>
      </c>
      <c r="G185">
        <v>869</v>
      </c>
      <c r="H185">
        <v>123</v>
      </c>
      <c r="I185">
        <v>54912</v>
      </c>
      <c r="J185">
        <v>53916</v>
      </c>
      <c r="K185">
        <v>264</v>
      </c>
      <c r="L185" t="s">
        <v>44</v>
      </c>
      <c r="M185" t="s">
        <v>25</v>
      </c>
      <c r="N185" s="21">
        <v>8.0565268065268064E-2</v>
      </c>
    </row>
    <row r="186" spans="1:14" x14ac:dyDescent="0.3">
      <c r="A186" t="s">
        <v>286</v>
      </c>
      <c r="B186" t="s">
        <v>31</v>
      </c>
      <c r="C186" s="11">
        <v>45457</v>
      </c>
      <c r="D186" t="s">
        <v>33</v>
      </c>
      <c r="E186" t="s">
        <v>34</v>
      </c>
      <c r="F186">
        <v>4363</v>
      </c>
      <c r="G186">
        <v>649</v>
      </c>
      <c r="H186">
        <v>140</v>
      </c>
      <c r="I186">
        <v>21815</v>
      </c>
      <c r="J186">
        <v>21481</v>
      </c>
      <c r="K186">
        <v>157</v>
      </c>
      <c r="L186" t="s">
        <v>18</v>
      </c>
      <c r="M186" t="s">
        <v>25</v>
      </c>
      <c r="N186" s="21">
        <v>0.23616777446710979</v>
      </c>
    </row>
    <row r="187" spans="1:14" x14ac:dyDescent="0.3">
      <c r="A187" t="s">
        <v>286</v>
      </c>
      <c r="B187" t="s">
        <v>31</v>
      </c>
      <c r="C187" s="11">
        <v>45457</v>
      </c>
      <c r="D187" t="s">
        <v>33</v>
      </c>
      <c r="E187" t="s">
        <v>34</v>
      </c>
      <c r="F187">
        <v>4363</v>
      </c>
      <c r="G187">
        <v>649</v>
      </c>
      <c r="H187">
        <v>140</v>
      </c>
      <c r="I187">
        <v>21815</v>
      </c>
      <c r="J187">
        <v>21481</v>
      </c>
      <c r="K187">
        <v>157</v>
      </c>
      <c r="L187" t="s">
        <v>24</v>
      </c>
      <c r="M187" t="s">
        <v>25</v>
      </c>
      <c r="N187" s="21">
        <v>0.23616777446710979</v>
      </c>
    </row>
    <row r="188" spans="1:14" x14ac:dyDescent="0.3">
      <c r="A188" t="s">
        <v>287</v>
      </c>
      <c r="B188" t="s">
        <v>27</v>
      </c>
      <c r="C188" s="11">
        <v>45753</v>
      </c>
      <c r="D188" t="s">
        <v>42</v>
      </c>
      <c r="E188" t="s">
        <v>43</v>
      </c>
      <c r="F188">
        <v>736</v>
      </c>
      <c r="G188">
        <v>771</v>
      </c>
      <c r="H188">
        <v>225</v>
      </c>
      <c r="I188">
        <v>5152</v>
      </c>
      <c r="J188">
        <v>4706</v>
      </c>
      <c r="K188">
        <v>19</v>
      </c>
      <c r="L188" t="s">
        <v>58</v>
      </c>
      <c r="M188" t="s">
        <v>38</v>
      </c>
      <c r="N188" s="21">
        <v>0.33618012422360249</v>
      </c>
    </row>
    <row r="189" spans="1:14" x14ac:dyDescent="0.3">
      <c r="A189" t="s">
        <v>289</v>
      </c>
      <c r="B189" t="s">
        <v>14</v>
      </c>
      <c r="C189" s="11">
        <v>45543</v>
      </c>
      <c r="D189" t="s">
        <v>42</v>
      </c>
      <c r="E189" t="s">
        <v>43</v>
      </c>
      <c r="F189">
        <v>3811</v>
      </c>
      <c r="G189">
        <v>866</v>
      </c>
      <c r="H189">
        <v>216</v>
      </c>
      <c r="I189">
        <v>34299</v>
      </c>
      <c r="J189">
        <v>34088</v>
      </c>
      <c r="K189">
        <v>233</v>
      </c>
      <c r="L189" t="s">
        <v>58</v>
      </c>
      <c r="M189" t="s">
        <v>38</v>
      </c>
      <c r="N189" s="21">
        <v>0.14265722032712325</v>
      </c>
    </row>
    <row r="190" spans="1:14" x14ac:dyDescent="0.3">
      <c r="A190" t="s">
        <v>291</v>
      </c>
      <c r="B190" t="s">
        <v>31</v>
      </c>
      <c r="C190" s="11">
        <v>45744</v>
      </c>
      <c r="D190" t="s">
        <v>42</v>
      </c>
      <c r="E190" t="s">
        <v>43</v>
      </c>
      <c r="F190">
        <v>4158</v>
      </c>
      <c r="G190">
        <v>167</v>
      </c>
      <c r="H190">
        <v>241</v>
      </c>
      <c r="I190">
        <v>45738</v>
      </c>
      <c r="J190">
        <v>45183</v>
      </c>
      <c r="K190">
        <v>142</v>
      </c>
      <c r="L190" t="s">
        <v>24</v>
      </c>
      <c r="M190" t="s">
        <v>25</v>
      </c>
      <c r="N190" s="21">
        <v>9.9829463465827106E-2</v>
      </c>
    </row>
    <row r="191" spans="1:14" x14ac:dyDescent="0.3">
      <c r="A191" t="s">
        <v>292</v>
      </c>
      <c r="B191" t="s">
        <v>40</v>
      </c>
      <c r="C191" s="11">
        <v>45684</v>
      </c>
      <c r="D191" t="s">
        <v>16</v>
      </c>
      <c r="E191" t="s">
        <v>17</v>
      </c>
      <c r="F191">
        <v>3452</v>
      </c>
      <c r="G191">
        <v>652</v>
      </c>
      <c r="H191">
        <v>442</v>
      </c>
      <c r="I191">
        <v>65588</v>
      </c>
      <c r="J191">
        <v>65049</v>
      </c>
      <c r="K191">
        <v>158</v>
      </c>
      <c r="L191" t="s">
        <v>18</v>
      </c>
      <c r="M191" t="s">
        <v>19</v>
      </c>
      <c r="N191" s="21">
        <v>6.9311459413307311E-2</v>
      </c>
    </row>
    <row r="192" spans="1:14" x14ac:dyDescent="0.3">
      <c r="A192" t="s">
        <v>292</v>
      </c>
      <c r="B192" t="s">
        <v>40</v>
      </c>
      <c r="C192" s="11">
        <v>45684</v>
      </c>
      <c r="D192" t="s">
        <v>16</v>
      </c>
      <c r="E192" t="s">
        <v>17</v>
      </c>
      <c r="F192">
        <v>3452</v>
      </c>
      <c r="G192">
        <v>652</v>
      </c>
      <c r="H192">
        <v>442</v>
      </c>
      <c r="I192">
        <v>65588</v>
      </c>
      <c r="J192">
        <v>65049</v>
      </c>
      <c r="K192">
        <v>158</v>
      </c>
      <c r="L192" t="s">
        <v>58</v>
      </c>
      <c r="M192" t="s">
        <v>19</v>
      </c>
      <c r="N192" s="21">
        <v>6.9311459413307311E-2</v>
      </c>
    </row>
    <row r="193" spans="1:14" x14ac:dyDescent="0.3">
      <c r="A193" t="s">
        <v>293</v>
      </c>
      <c r="B193" t="s">
        <v>14</v>
      </c>
      <c r="C193" s="11">
        <v>45667</v>
      </c>
      <c r="D193" t="s">
        <v>49</v>
      </c>
      <c r="E193" t="s">
        <v>50</v>
      </c>
      <c r="F193">
        <v>3092</v>
      </c>
      <c r="G193">
        <v>106</v>
      </c>
      <c r="H193">
        <v>291</v>
      </c>
      <c r="I193">
        <v>27828</v>
      </c>
      <c r="J193">
        <v>27217</v>
      </c>
      <c r="K193">
        <v>102</v>
      </c>
      <c r="L193" t="s">
        <v>58</v>
      </c>
      <c r="M193" t="s">
        <v>55</v>
      </c>
      <c r="N193" s="21">
        <v>0.12537731780940059</v>
      </c>
    </row>
    <row r="194" spans="1:14" x14ac:dyDescent="0.3">
      <c r="A194" t="s">
        <v>294</v>
      </c>
      <c r="B194" t="s">
        <v>14</v>
      </c>
      <c r="C194" s="11">
        <v>45494</v>
      </c>
      <c r="D194" t="s">
        <v>22</v>
      </c>
      <c r="E194" t="s">
        <v>23</v>
      </c>
      <c r="F194">
        <v>2147</v>
      </c>
      <c r="G194">
        <v>430</v>
      </c>
      <c r="H194">
        <v>393</v>
      </c>
      <c r="I194">
        <v>17176</v>
      </c>
      <c r="J194">
        <v>16483</v>
      </c>
      <c r="K194">
        <v>170</v>
      </c>
      <c r="L194" t="s">
        <v>77</v>
      </c>
      <c r="M194" t="s">
        <v>55</v>
      </c>
      <c r="N194" s="21">
        <v>0.17291569632044715</v>
      </c>
    </row>
    <row r="195" spans="1:14" x14ac:dyDescent="0.3">
      <c r="A195" t="s">
        <v>295</v>
      </c>
      <c r="B195" t="s">
        <v>27</v>
      </c>
      <c r="C195" s="11">
        <v>45564</v>
      </c>
      <c r="D195" t="s">
        <v>16</v>
      </c>
      <c r="E195" t="s">
        <v>17</v>
      </c>
      <c r="F195">
        <v>2936</v>
      </c>
      <c r="G195">
        <v>439</v>
      </c>
      <c r="H195">
        <v>44</v>
      </c>
      <c r="I195">
        <v>38168</v>
      </c>
      <c r="J195">
        <v>37571</v>
      </c>
      <c r="K195">
        <v>22</v>
      </c>
      <c r="L195" t="s">
        <v>18</v>
      </c>
      <c r="M195" t="s">
        <v>38</v>
      </c>
      <c r="N195" s="21">
        <v>8.9577656675749323E-2</v>
      </c>
    </row>
    <row r="196" spans="1:14" x14ac:dyDescent="0.3">
      <c r="A196" t="s">
        <v>297</v>
      </c>
      <c r="B196" t="s">
        <v>31</v>
      </c>
      <c r="C196" s="11">
        <v>45586</v>
      </c>
      <c r="D196" t="s">
        <v>16</v>
      </c>
      <c r="E196" t="s">
        <v>17</v>
      </c>
      <c r="F196">
        <v>4840</v>
      </c>
      <c r="G196">
        <v>658</v>
      </c>
      <c r="H196">
        <v>211</v>
      </c>
      <c r="I196">
        <v>43560</v>
      </c>
      <c r="J196">
        <v>43225</v>
      </c>
      <c r="K196">
        <v>57</v>
      </c>
      <c r="L196" t="s">
        <v>18</v>
      </c>
      <c r="M196" t="s">
        <v>25</v>
      </c>
      <c r="N196" s="21">
        <v>0.13106060606060607</v>
      </c>
    </row>
    <row r="197" spans="1:14" x14ac:dyDescent="0.3">
      <c r="A197" t="s">
        <v>297</v>
      </c>
      <c r="B197" t="s">
        <v>31</v>
      </c>
      <c r="C197" s="11">
        <v>45586</v>
      </c>
      <c r="D197" t="s">
        <v>16</v>
      </c>
      <c r="E197" t="s">
        <v>17</v>
      </c>
      <c r="F197">
        <v>4840</v>
      </c>
      <c r="G197">
        <v>658</v>
      </c>
      <c r="H197">
        <v>211</v>
      </c>
      <c r="I197">
        <v>43560</v>
      </c>
      <c r="J197">
        <v>43225</v>
      </c>
      <c r="K197">
        <v>57</v>
      </c>
      <c r="L197" t="s">
        <v>24</v>
      </c>
      <c r="M197" t="s">
        <v>25</v>
      </c>
      <c r="N197" s="21">
        <v>0.13106060606060607</v>
      </c>
    </row>
    <row r="198" spans="1:14" x14ac:dyDescent="0.3">
      <c r="A198" t="s">
        <v>298</v>
      </c>
      <c r="B198" t="s">
        <v>31</v>
      </c>
      <c r="C198" s="11">
        <v>45720</v>
      </c>
      <c r="D198" t="s">
        <v>33</v>
      </c>
      <c r="E198" t="s">
        <v>34</v>
      </c>
      <c r="F198">
        <v>1947</v>
      </c>
      <c r="G198">
        <v>842</v>
      </c>
      <c r="H198">
        <v>101</v>
      </c>
      <c r="I198">
        <v>21417</v>
      </c>
      <c r="J198">
        <v>20967</v>
      </c>
      <c r="K198">
        <v>186</v>
      </c>
      <c r="L198" t="s">
        <v>24</v>
      </c>
      <c r="M198" t="s">
        <v>25</v>
      </c>
      <c r="N198" s="21">
        <v>0.13493953401503478</v>
      </c>
    </row>
    <row r="199" spans="1:14" x14ac:dyDescent="0.3">
      <c r="A199" t="s">
        <v>299</v>
      </c>
      <c r="B199" t="s">
        <v>40</v>
      </c>
      <c r="C199" s="11">
        <v>45694</v>
      </c>
      <c r="D199" t="s">
        <v>49</v>
      </c>
      <c r="E199" t="s">
        <v>50</v>
      </c>
      <c r="F199">
        <v>2072</v>
      </c>
      <c r="G199">
        <v>532</v>
      </c>
      <c r="H199">
        <v>71</v>
      </c>
      <c r="I199">
        <v>37296</v>
      </c>
      <c r="J199">
        <v>36467</v>
      </c>
      <c r="K199">
        <v>25</v>
      </c>
      <c r="L199" t="s">
        <v>18</v>
      </c>
      <c r="M199" t="s">
        <v>38</v>
      </c>
      <c r="N199" s="21">
        <v>7.172350922350923E-2</v>
      </c>
    </row>
    <row r="200" spans="1:14" x14ac:dyDescent="0.3">
      <c r="A200" t="s">
        <v>301</v>
      </c>
      <c r="B200" t="s">
        <v>14</v>
      </c>
      <c r="C200" s="11">
        <v>45771</v>
      </c>
      <c r="D200" t="s">
        <v>16</v>
      </c>
      <c r="E200" t="s">
        <v>17</v>
      </c>
      <c r="F200">
        <v>3731</v>
      </c>
      <c r="G200">
        <v>115</v>
      </c>
      <c r="H200">
        <v>135</v>
      </c>
      <c r="I200">
        <v>55965</v>
      </c>
      <c r="J200">
        <v>55436</v>
      </c>
      <c r="K200">
        <v>103</v>
      </c>
      <c r="L200" t="s">
        <v>77</v>
      </c>
      <c r="M200" t="s">
        <v>55</v>
      </c>
      <c r="N200" s="21">
        <v>7.1133744304476013E-2</v>
      </c>
    </row>
    <row r="201" spans="1:14" x14ac:dyDescent="0.3">
      <c r="A201" t="s">
        <v>303</v>
      </c>
      <c r="B201" t="s">
        <v>40</v>
      </c>
      <c r="C201" s="11">
        <v>45624</v>
      </c>
      <c r="D201" t="s">
        <v>22</v>
      </c>
      <c r="E201" t="s">
        <v>23</v>
      </c>
      <c r="F201">
        <v>4213</v>
      </c>
      <c r="G201">
        <v>253</v>
      </c>
      <c r="H201">
        <v>434</v>
      </c>
      <c r="I201">
        <v>75834</v>
      </c>
      <c r="J201">
        <v>75437</v>
      </c>
      <c r="K201">
        <v>272</v>
      </c>
      <c r="L201" t="s">
        <v>44</v>
      </c>
      <c r="M201" t="s">
        <v>38</v>
      </c>
      <c r="N201" s="21">
        <v>6.461481657304112E-2</v>
      </c>
    </row>
    <row r="202" spans="1:14" x14ac:dyDescent="0.3">
      <c r="A202" t="s">
        <v>305</v>
      </c>
      <c r="B202" t="s">
        <v>31</v>
      </c>
      <c r="C202" s="11">
        <v>45484</v>
      </c>
      <c r="D202" t="s">
        <v>22</v>
      </c>
      <c r="E202" t="s">
        <v>23</v>
      </c>
      <c r="F202">
        <v>3134</v>
      </c>
      <c r="G202">
        <v>888</v>
      </c>
      <c r="H202">
        <v>444</v>
      </c>
      <c r="I202">
        <v>21938</v>
      </c>
      <c r="J202">
        <v>21337</v>
      </c>
      <c r="K202">
        <v>130</v>
      </c>
      <c r="L202" t="s">
        <v>18</v>
      </c>
      <c r="M202" t="s">
        <v>55</v>
      </c>
      <c r="N202" s="21">
        <v>0.20357370772176134</v>
      </c>
    </row>
    <row r="203" spans="1:14" x14ac:dyDescent="0.3">
      <c r="A203" t="s">
        <v>305</v>
      </c>
      <c r="B203" t="s">
        <v>31</v>
      </c>
      <c r="C203" s="11">
        <v>45484</v>
      </c>
      <c r="D203" t="s">
        <v>22</v>
      </c>
      <c r="E203" t="s">
        <v>23</v>
      </c>
      <c r="F203">
        <v>3134</v>
      </c>
      <c r="G203">
        <v>888</v>
      </c>
      <c r="H203">
        <v>444</v>
      </c>
      <c r="I203">
        <v>21938</v>
      </c>
      <c r="J203">
        <v>21337</v>
      </c>
      <c r="K203">
        <v>130</v>
      </c>
      <c r="L203" t="s">
        <v>24</v>
      </c>
      <c r="M203" t="s">
        <v>55</v>
      </c>
      <c r="N203" s="21">
        <v>0.20357370772176134</v>
      </c>
    </row>
    <row r="204" spans="1:14" x14ac:dyDescent="0.3">
      <c r="A204" t="s">
        <v>307</v>
      </c>
      <c r="B204" t="s">
        <v>40</v>
      </c>
      <c r="C204" s="11">
        <v>45504</v>
      </c>
      <c r="D204" t="s">
        <v>69</v>
      </c>
      <c r="E204" t="s">
        <v>70</v>
      </c>
      <c r="F204">
        <v>3008</v>
      </c>
      <c r="G204">
        <v>94</v>
      </c>
      <c r="H204">
        <v>37</v>
      </c>
      <c r="I204">
        <v>15040</v>
      </c>
      <c r="J204">
        <v>14639</v>
      </c>
      <c r="K204">
        <v>277</v>
      </c>
      <c r="L204" t="s">
        <v>77</v>
      </c>
      <c r="M204" t="s">
        <v>19</v>
      </c>
      <c r="N204" s="21">
        <v>0.20871010638297871</v>
      </c>
    </row>
    <row r="205" spans="1:14" x14ac:dyDescent="0.3">
      <c r="A205" t="s">
        <v>308</v>
      </c>
      <c r="B205" t="s">
        <v>14</v>
      </c>
      <c r="C205" s="11">
        <v>45745</v>
      </c>
      <c r="D205" t="s">
        <v>49</v>
      </c>
      <c r="E205" t="s">
        <v>50</v>
      </c>
      <c r="F205">
        <v>305</v>
      </c>
      <c r="G205">
        <v>187</v>
      </c>
      <c r="H205">
        <v>243</v>
      </c>
      <c r="I205">
        <v>4575</v>
      </c>
      <c r="J205">
        <v>3704</v>
      </c>
      <c r="K205">
        <v>234</v>
      </c>
      <c r="L205" t="s">
        <v>24</v>
      </c>
      <c r="M205" t="s">
        <v>55</v>
      </c>
      <c r="N205" s="21">
        <v>0.16065573770491803</v>
      </c>
    </row>
    <row r="206" spans="1:14" x14ac:dyDescent="0.3">
      <c r="A206" t="s">
        <v>308</v>
      </c>
      <c r="B206" t="s">
        <v>14</v>
      </c>
      <c r="C206" s="11">
        <v>45745</v>
      </c>
      <c r="D206" t="s">
        <v>49</v>
      </c>
      <c r="E206" t="s">
        <v>50</v>
      </c>
      <c r="F206">
        <v>305</v>
      </c>
      <c r="G206">
        <v>187</v>
      </c>
      <c r="H206">
        <v>243</v>
      </c>
      <c r="I206">
        <v>4575</v>
      </c>
      <c r="J206">
        <v>3704</v>
      </c>
      <c r="K206">
        <v>234</v>
      </c>
      <c r="L206" t="s">
        <v>44</v>
      </c>
      <c r="M206" t="s">
        <v>55</v>
      </c>
      <c r="N206" s="21">
        <v>0.16065573770491803</v>
      </c>
    </row>
    <row r="207" spans="1:14" x14ac:dyDescent="0.3">
      <c r="A207" t="s">
        <v>309</v>
      </c>
      <c r="B207" t="s">
        <v>27</v>
      </c>
      <c r="C207" s="11">
        <v>45594</v>
      </c>
      <c r="D207" t="s">
        <v>22</v>
      </c>
      <c r="E207" t="s">
        <v>23</v>
      </c>
      <c r="F207">
        <v>2746</v>
      </c>
      <c r="G207">
        <v>156</v>
      </c>
      <c r="H207">
        <v>203</v>
      </c>
      <c r="I207">
        <v>32952</v>
      </c>
      <c r="J207">
        <v>32147</v>
      </c>
      <c r="K207">
        <v>147</v>
      </c>
      <c r="L207" t="s">
        <v>24</v>
      </c>
      <c r="M207" t="s">
        <v>25</v>
      </c>
      <c r="N207" s="21">
        <v>9.422796795338674E-2</v>
      </c>
    </row>
    <row r="208" spans="1:14" x14ac:dyDescent="0.3">
      <c r="A208" t="s">
        <v>309</v>
      </c>
      <c r="B208" t="s">
        <v>27</v>
      </c>
      <c r="C208" s="11">
        <v>45594</v>
      </c>
      <c r="D208" t="s">
        <v>22</v>
      </c>
      <c r="E208" t="s">
        <v>23</v>
      </c>
      <c r="F208">
        <v>2746</v>
      </c>
      <c r="G208">
        <v>156</v>
      </c>
      <c r="H208">
        <v>203</v>
      </c>
      <c r="I208">
        <v>32952</v>
      </c>
      <c r="J208">
        <v>32147</v>
      </c>
      <c r="K208">
        <v>147</v>
      </c>
      <c r="L208" t="s">
        <v>58</v>
      </c>
      <c r="M208" t="s">
        <v>25</v>
      </c>
      <c r="N208" s="21">
        <v>9.422796795338674E-2</v>
      </c>
    </row>
    <row r="209" spans="1:14" x14ac:dyDescent="0.3">
      <c r="A209" t="s">
        <v>311</v>
      </c>
      <c r="B209" t="s">
        <v>40</v>
      </c>
      <c r="C209" s="11">
        <v>45488</v>
      </c>
      <c r="D209" t="s">
        <v>49</v>
      </c>
      <c r="E209" t="s">
        <v>50</v>
      </c>
      <c r="F209">
        <v>2291</v>
      </c>
      <c r="G209">
        <v>78</v>
      </c>
      <c r="H209">
        <v>485</v>
      </c>
      <c r="I209">
        <v>18328</v>
      </c>
      <c r="J209">
        <v>18101</v>
      </c>
      <c r="K209">
        <v>10</v>
      </c>
      <c r="L209" t="s">
        <v>77</v>
      </c>
      <c r="M209" t="s">
        <v>19</v>
      </c>
      <c r="N209" s="21">
        <v>0.15571802706241816</v>
      </c>
    </row>
    <row r="210" spans="1:14" x14ac:dyDescent="0.3">
      <c r="A210" t="s">
        <v>313</v>
      </c>
      <c r="B210" t="s">
        <v>14</v>
      </c>
      <c r="C210" s="11">
        <v>45535</v>
      </c>
      <c r="D210" t="s">
        <v>49</v>
      </c>
      <c r="E210" t="s">
        <v>50</v>
      </c>
      <c r="F210">
        <v>3170</v>
      </c>
      <c r="G210">
        <v>857</v>
      </c>
      <c r="H210">
        <v>379</v>
      </c>
      <c r="I210">
        <v>19020</v>
      </c>
      <c r="J210">
        <v>18559</v>
      </c>
      <c r="K210">
        <v>240</v>
      </c>
      <c r="L210" t="s">
        <v>18</v>
      </c>
      <c r="M210" t="s">
        <v>38</v>
      </c>
      <c r="N210" s="21">
        <v>0.2316508937960042</v>
      </c>
    </row>
    <row r="211" spans="1:14" x14ac:dyDescent="0.3">
      <c r="A211" t="s">
        <v>315</v>
      </c>
      <c r="B211" t="s">
        <v>27</v>
      </c>
      <c r="C211" s="11">
        <v>45741</v>
      </c>
      <c r="D211" t="s">
        <v>33</v>
      </c>
      <c r="E211" t="s">
        <v>34</v>
      </c>
      <c r="F211">
        <v>2070</v>
      </c>
      <c r="G211">
        <v>275</v>
      </c>
      <c r="H211">
        <v>386</v>
      </c>
      <c r="I211">
        <v>39330</v>
      </c>
      <c r="J211">
        <v>38627</v>
      </c>
      <c r="K211">
        <v>114</v>
      </c>
      <c r="L211" t="s">
        <v>18</v>
      </c>
      <c r="M211" t="s">
        <v>55</v>
      </c>
      <c r="N211" s="21">
        <v>6.9438087973557078E-2</v>
      </c>
    </row>
    <row r="212" spans="1:14" x14ac:dyDescent="0.3">
      <c r="A212" t="s">
        <v>316</v>
      </c>
      <c r="B212" t="s">
        <v>27</v>
      </c>
      <c r="C212" s="11">
        <v>45567</v>
      </c>
      <c r="D212" t="s">
        <v>42</v>
      </c>
      <c r="E212" t="s">
        <v>43</v>
      </c>
      <c r="F212">
        <v>80</v>
      </c>
      <c r="G212">
        <v>362</v>
      </c>
      <c r="H212">
        <v>80</v>
      </c>
      <c r="I212">
        <v>1040</v>
      </c>
      <c r="J212">
        <v>349</v>
      </c>
      <c r="K212">
        <v>117</v>
      </c>
      <c r="L212" t="s">
        <v>24</v>
      </c>
      <c r="M212" t="s">
        <v>25</v>
      </c>
      <c r="N212" s="21">
        <v>0.50192307692307692</v>
      </c>
    </row>
    <row r="213" spans="1:14" x14ac:dyDescent="0.3">
      <c r="A213" t="s">
        <v>316</v>
      </c>
      <c r="B213" t="s">
        <v>27</v>
      </c>
      <c r="C213" s="11">
        <v>45567</v>
      </c>
      <c r="D213" t="s">
        <v>42</v>
      </c>
      <c r="E213" t="s">
        <v>43</v>
      </c>
      <c r="F213">
        <v>80</v>
      </c>
      <c r="G213">
        <v>362</v>
      </c>
      <c r="H213">
        <v>80</v>
      </c>
      <c r="I213">
        <v>1040</v>
      </c>
      <c r="J213">
        <v>349</v>
      </c>
      <c r="K213">
        <v>117</v>
      </c>
      <c r="L213" t="s">
        <v>58</v>
      </c>
      <c r="M213" t="s">
        <v>25</v>
      </c>
      <c r="N213" s="21">
        <v>0.50192307692307692</v>
      </c>
    </row>
    <row r="214" spans="1:14" x14ac:dyDescent="0.3">
      <c r="A214" t="s">
        <v>317</v>
      </c>
      <c r="B214" t="s">
        <v>27</v>
      </c>
      <c r="C214" s="11">
        <v>45593</v>
      </c>
      <c r="D214" t="s">
        <v>33</v>
      </c>
      <c r="E214" t="s">
        <v>34</v>
      </c>
      <c r="F214">
        <v>4929</v>
      </c>
      <c r="G214">
        <v>749</v>
      </c>
      <c r="H214">
        <v>452</v>
      </c>
      <c r="I214">
        <v>93651</v>
      </c>
      <c r="J214">
        <v>92810</v>
      </c>
      <c r="K214">
        <v>66</v>
      </c>
      <c r="L214" t="s">
        <v>44</v>
      </c>
      <c r="M214" t="s">
        <v>19</v>
      </c>
      <c r="N214" s="21">
        <v>6.5455787978772245E-2</v>
      </c>
    </row>
    <row r="215" spans="1:14" x14ac:dyDescent="0.3">
      <c r="A215" t="s">
        <v>317</v>
      </c>
      <c r="B215" t="s">
        <v>27</v>
      </c>
      <c r="C215" s="11">
        <v>45593</v>
      </c>
      <c r="D215" t="s">
        <v>33</v>
      </c>
      <c r="E215" t="s">
        <v>34</v>
      </c>
      <c r="F215">
        <v>4929</v>
      </c>
      <c r="G215">
        <v>749</v>
      </c>
      <c r="H215">
        <v>452</v>
      </c>
      <c r="I215">
        <v>93651</v>
      </c>
      <c r="J215">
        <v>92810</v>
      </c>
      <c r="K215">
        <v>66</v>
      </c>
      <c r="L215" t="s">
        <v>58</v>
      </c>
      <c r="M215" t="s">
        <v>19</v>
      </c>
      <c r="N215" s="21">
        <v>6.5455787978772245E-2</v>
      </c>
    </row>
    <row r="216" spans="1:14" x14ac:dyDescent="0.3">
      <c r="A216" t="s">
        <v>318</v>
      </c>
      <c r="B216" t="s">
        <v>31</v>
      </c>
      <c r="C216" s="11">
        <v>45516</v>
      </c>
      <c r="D216" t="s">
        <v>42</v>
      </c>
      <c r="E216" t="s">
        <v>43</v>
      </c>
      <c r="F216">
        <v>1878</v>
      </c>
      <c r="G216">
        <v>62</v>
      </c>
      <c r="H216">
        <v>179</v>
      </c>
      <c r="I216">
        <v>37560</v>
      </c>
      <c r="J216">
        <v>36874</v>
      </c>
      <c r="K216">
        <v>142</v>
      </c>
      <c r="L216" t="s">
        <v>77</v>
      </c>
      <c r="M216" t="s">
        <v>19</v>
      </c>
      <c r="N216" s="21">
        <v>5.6416400425985093E-2</v>
      </c>
    </row>
    <row r="217" spans="1:14" x14ac:dyDescent="0.3">
      <c r="A217" t="s">
        <v>318</v>
      </c>
      <c r="B217" t="s">
        <v>31</v>
      </c>
      <c r="C217" s="11">
        <v>45516</v>
      </c>
      <c r="D217" t="s">
        <v>42</v>
      </c>
      <c r="E217" t="s">
        <v>43</v>
      </c>
      <c r="F217">
        <v>1878</v>
      </c>
      <c r="G217">
        <v>62</v>
      </c>
      <c r="H217">
        <v>179</v>
      </c>
      <c r="I217">
        <v>37560</v>
      </c>
      <c r="J217">
        <v>36874</v>
      </c>
      <c r="K217">
        <v>142</v>
      </c>
      <c r="L217" t="s">
        <v>44</v>
      </c>
      <c r="M217" t="s">
        <v>19</v>
      </c>
      <c r="N217" s="21">
        <v>5.6416400425985093E-2</v>
      </c>
    </row>
    <row r="218" spans="1:14" x14ac:dyDescent="0.3">
      <c r="A218" t="s">
        <v>319</v>
      </c>
      <c r="B218" t="s">
        <v>27</v>
      </c>
      <c r="C218" s="11">
        <v>45448</v>
      </c>
      <c r="D218" t="s">
        <v>16</v>
      </c>
      <c r="E218" t="s">
        <v>17</v>
      </c>
      <c r="F218">
        <v>3065</v>
      </c>
      <c r="G218">
        <v>772</v>
      </c>
      <c r="H218">
        <v>142</v>
      </c>
      <c r="I218">
        <v>18390</v>
      </c>
      <c r="J218">
        <v>17875</v>
      </c>
      <c r="K218">
        <v>200</v>
      </c>
      <c r="L218" t="s">
        <v>58</v>
      </c>
      <c r="M218" t="s">
        <v>19</v>
      </c>
      <c r="N218" s="21">
        <v>0.21636759108210984</v>
      </c>
    </row>
    <row r="219" spans="1:14" x14ac:dyDescent="0.3">
      <c r="A219" t="s">
        <v>321</v>
      </c>
      <c r="B219" t="s">
        <v>31</v>
      </c>
      <c r="C219" s="11">
        <v>45586</v>
      </c>
      <c r="D219" t="s">
        <v>16</v>
      </c>
      <c r="E219" t="s">
        <v>17</v>
      </c>
      <c r="F219">
        <v>3256</v>
      </c>
      <c r="G219">
        <v>459</v>
      </c>
      <c r="H219">
        <v>266</v>
      </c>
      <c r="I219">
        <v>26048</v>
      </c>
      <c r="J219">
        <v>25529</v>
      </c>
      <c r="K219">
        <v>143</v>
      </c>
      <c r="L219" t="s">
        <v>18</v>
      </c>
      <c r="M219" t="s">
        <v>38</v>
      </c>
      <c r="N219" s="21">
        <v>0.15283323095823095</v>
      </c>
    </row>
    <row r="220" spans="1:14" x14ac:dyDescent="0.3">
      <c r="A220" t="s">
        <v>321</v>
      </c>
      <c r="B220" t="s">
        <v>31</v>
      </c>
      <c r="C220" s="11">
        <v>45586</v>
      </c>
      <c r="D220" t="s">
        <v>16</v>
      </c>
      <c r="E220" t="s">
        <v>17</v>
      </c>
      <c r="F220">
        <v>3256</v>
      </c>
      <c r="G220">
        <v>459</v>
      </c>
      <c r="H220">
        <v>266</v>
      </c>
      <c r="I220">
        <v>26048</v>
      </c>
      <c r="J220">
        <v>25529</v>
      </c>
      <c r="K220">
        <v>143</v>
      </c>
      <c r="L220" t="s">
        <v>58</v>
      </c>
      <c r="M220" t="s">
        <v>38</v>
      </c>
      <c r="N220" s="21">
        <v>0.15283323095823095</v>
      </c>
    </row>
    <row r="221" spans="1:14" x14ac:dyDescent="0.3">
      <c r="A221" t="s">
        <v>322</v>
      </c>
      <c r="B221" t="s">
        <v>31</v>
      </c>
      <c r="C221" s="11">
        <v>45762</v>
      </c>
      <c r="D221" t="s">
        <v>69</v>
      </c>
      <c r="E221" t="s">
        <v>70</v>
      </c>
      <c r="F221">
        <v>4133</v>
      </c>
      <c r="G221">
        <v>466</v>
      </c>
      <c r="H221">
        <v>327</v>
      </c>
      <c r="I221">
        <v>24798</v>
      </c>
      <c r="J221">
        <v>24620</v>
      </c>
      <c r="K221">
        <v>176</v>
      </c>
      <c r="L221" t="s">
        <v>58</v>
      </c>
      <c r="M221" t="s">
        <v>25</v>
      </c>
      <c r="N221" s="21">
        <v>0.19864505202032423</v>
      </c>
    </row>
    <row r="222" spans="1:14" x14ac:dyDescent="0.3">
      <c r="A222" t="s">
        <v>323</v>
      </c>
      <c r="B222" t="s">
        <v>14</v>
      </c>
      <c r="C222" s="11">
        <v>45459</v>
      </c>
      <c r="D222" t="s">
        <v>69</v>
      </c>
      <c r="E222" t="s">
        <v>70</v>
      </c>
      <c r="F222">
        <v>1702</v>
      </c>
      <c r="G222">
        <v>750</v>
      </c>
      <c r="H222">
        <v>179</v>
      </c>
      <c r="I222">
        <v>34040</v>
      </c>
      <c r="J222">
        <v>33174</v>
      </c>
      <c r="K222">
        <v>76</v>
      </c>
      <c r="L222" t="s">
        <v>44</v>
      </c>
      <c r="M222" t="s">
        <v>38</v>
      </c>
      <c r="N222" s="21">
        <v>7.7291421856639245E-2</v>
      </c>
    </row>
    <row r="223" spans="1:14" x14ac:dyDescent="0.3">
      <c r="A223" t="s">
        <v>325</v>
      </c>
      <c r="B223" t="s">
        <v>27</v>
      </c>
      <c r="C223" s="11">
        <v>45526</v>
      </c>
      <c r="D223" t="s">
        <v>42</v>
      </c>
      <c r="E223" t="s">
        <v>43</v>
      </c>
      <c r="F223">
        <v>4295</v>
      </c>
      <c r="G223">
        <v>853</v>
      </c>
      <c r="H223">
        <v>325</v>
      </c>
      <c r="I223">
        <v>85900</v>
      </c>
      <c r="J223">
        <v>85788</v>
      </c>
      <c r="K223">
        <v>290</v>
      </c>
      <c r="L223" t="s">
        <v>44</v>
      </c>
      <c r="M223" t="s">
        <v>25</v>
      </c>
      <c r="N223" s="21">
        <v>6.3713620488940623E-2</v>
      </c>
    </row>
    <row r="224" spans="1:14" x14ac:dyDescent="0.3">
      <c r="A224" t="s">
        <v>325</v>
      </c>
      <c r="B224" t="s">
        <v>27</v>
      </c>
      <c r="C224" s="11">
        <v>45526</v>
      </c>
      <c r="D224" t="s">
        <v>42</v>
      </c>
      <c r="E224" t="s">
        <v>43</v>
      </c>
      <c r="F224">
        <v>4295</v>
      </c>
      <c r="G224">
        <v>853</v>
      </c>
      <c r="H224">
        <v>325</v>
      </c>
      <c r="I224">
        <v>85900</v>
      </c>
      <c r="J224">
        <v>85788</v>
      </c>
      <c r="K224">
        <v>290</v>
      </c>
      <c r="L224" t="s">
        <v>18</v>
      </c>
      <c r="M224" t="s">
        <v>25</v>
      </c>
      <c r="N224" s="21">
        <v>6.3713620488940623E-2</v>
      </c>
    </row>
    <row r="225" spans="1:14" x14ac:dyDescent="0.3">
      <c r="A225" t="s">
        <v>327</v>
      </c>
      <c r="B225" t="s">
        <v>31</v>
      </c>
      <c r="C225" s="11">
        <v>45499</v>
      </c>
      <c r="D225" t="s">
        <v>49</v>
      </c>
      <c r="E225" t="s">
        <v>50</v>
      </c>
      <c r="F225">
        <v>3559</v>
      </c>
      <c r="G225">
        <v>59</v>
      </c>
      <c r="H225">
        <v>289</v>
      </c>
      <c r="I225">
        <v>35590</v>
      </c>
      <c r="J225">
        <v>35105</v>
      </c>
      <c r="K225">
        <v>122</v>
      </c>
      <c r="L225" t="s">
        <v>44</v>
      </c>
      <c r="M225" t="s">
        <v>38</v>
      </c>
      <c r="N225" s="21">
        <v>0.10977802753582468</v>
      </c>
    </row>
    <row r="226" spans="1:14" x14ac:dyDescent="0.3">
      <c r="A226" t="s">
        <v>327</v>
      </c>
      <c r="B226" t="s">
        <v>31</v>
      </c>
      <c r="C226" s="11">
        <v>45499</v>
      </c>
      <c r="D226" t="s">
        <v>49</v>
      </c>
      <c r="E226" t="s">
        <v>50</v>
      </c>
      <c r="F226">
        <v>3559</v>
      </c>
      <c r="G226">
        <v>59</v>
      </c>
      <c r="H226">
        <v>289</v>
      </c>
      <c r="I226">
        <v>35590</v>
      </c>
      <c r="J226">
        <v>35105</v>
      </c>
      <c r="K226">
        <v>122</v>
      </c>
      <c r="L226" t="s">
        <v>58</v>
      </c>
      <c r="M226" t="s">
        <v>38</v>
      </c>
      <c r="N226" s="21">
        <v>0.10977802753582468</v>
      </c>
    </row>
    <row r="227" spans="1:14" x14ac:dyDescent="0.3">
      <c r="A227" t="s">
        <v>328</v>
      </c>
      <c r="B227" t="s">
        <v>40</v>
      </c>
      <c r="C227" s="11">
        <v>45769</v>
      </c>
      <c r="D227" t="s">
        <v>49</v>
      </c>
      <c r="E227" t="s">
        <v>50</v>
      </c>
      <c r="F227">
        <v>4804</v>
      </c>
      <c r="G227">
        <v>550</v>
      </c>
      <c r="H227">
        <v>270</v>
      </c>
      <c r="I227">
        <v>28824</v>
      </c>
      <c r="J227">
        <v>28370</v>
      </c>
      <c r="K227">
        <v>47</v>
      </c>
      <c r="L227" t="s">
        <v>18</v>
      </c>
      <c r="M227" t="s">
        <v>55</v>
      </c>
      <c r="N227" s="21">
        <v>0.19511518179295032</v>
      </c>
    </row>
    <row r="228" spans="1:14" x14ac:dyDescent="0.3">
      <c r="A228" t="s">
        <v>328</v>
      </c>
      <c r="B228" t="s">
        <v>40</v>
      </c>
      <c r="C228" s="11">
        <v>45769</v>
      </c>
      <c r="D228" t="s">
        <v>49</v>
      </c>
      <c r="E228" t="s">
        <v>50</v>
      </c>
      <c r="F228">
        <v>4804</v>
      </c>
      <c r="G228">
        <v>550</v>
      </c>
      <c r="H228">
        <v>270</v>
      </c>
      <c r="I228">
        <v>28824</v>
      </c>
      <c r="J228">
        <v>28370</v>
      </c>
      <c r="K228">
        <v>47</v>
      </c>
      <c r="L228" t="s">
        <v>58</v>
      </c>
      <c r="M228" t="s">
        <v>55</v>
      </c>
      <c r="N228" s="21">
        <v>0.19511518179295032</v>
      </c>
    </row>
    <row r="229" spans="1:14" x14ac:dyDescent="0.3">
      <c r="A229" t="s">
        <v>330</v>
      </c>
      <c r="B229" t="s">
        <v>14</v>
      </c>
      <c r="C229" s="11">
        <v>45658</v>
      </c>
      <c r="D229" t="s">
        <v>69</v>
      </c>
      <c r="E229" t="s">
        <v>70</v>
      </c>
      <c r="F229">
        <v>754</v>
      </c>
      <c r="G229">
        <v>197</v>
      </c>
      <c r="H229">
        <v>257</v>
      </c>
      <c r="I229">
        <v>6786</v>
      </c>
      <c r="J229">
        <v>6221</v>
      </c>
      <c r="K229">
        <v>212</v>
      </c>
      <c r="L229" t="s">
        <v>77</v>
      </c>
      <c r="M229" t="s">
        <v>38</v>
      </c>
      <c r="N229" s="21">
        <v>0.17801355732390214</v>
      </c>
    </row>
    <row r="230" spans="1:14" x14ac:dyDescent="0.3">
      <c r="A230" t="s">
        <v>330</v>
      </c>
      <c r="B230" t="s">
        <v>14</v>
      </c>
      <c r="C230" s="11">
        <v>45658</v>
      </c>
      <c r="D230" t="s">
        <v>69</v>
      </c>
      <c r="E230" t="s">
        <v>70</v>
      </c>
      <c r="F230">
        <v>754</v>
      </c>
      <c r="G230">
        <v>197</v>
      </c>
      <c r="H230">
        <v>257</v>
      </c>
      <c r="I230">
        <v>6786</v>
      </c>
      <c r="J230">
        <v>6221</v>
      </c>
      <c r="K230">
        <v>212</v>
      </c>
      <c r="L230" t="s">
        <v>44</v>
      </c>
      <c r="M230" t="s">
        <v>38</v>
      </c>
      <c r="N230" s="21">
        <v>0.17801355732390214</v>
      </c>
    </row>
    <row r="231" spans="1:14" x14ac:dyDescent="0.3">
      <c r="A231" t="s">
        <v>332</v>
      </c>
      <c r="B231" t="s">
        <v>31</v>
      </c>
      <c r="C231" s="11">
        <v>45574</v>
      </c>
      <c r="D231" t="s">
        <v>42</v>
      </c>
      <c r="E231" t="s">
        <v>43</v>
      </c>
      <c r="F231">
        <v>985</v>
      </c>
      <c r="G231">
        <v>932</v>
      </c>
      <c r="H231">
        <v>287</v>
      </c>
      <c r="I231">
        <v>6895</v>
      </c>
      <c r="J231">
        <v>6757</v>
      </c>
      <c r="K231">
        <v>64</v>
      </c>
      <c r="L231" t="s">
        <v>18</v>
      </c>
      <c r="M231" t="s">
        <v>25</v>
      </c>
      <c r="N231" s="21">
        <v>0.31965192168237855</v>
      </c>
    </row>
    <row r="232" spans="1:14" x14ac:dyDescent="0.3">
      <c r="A232" t="s">
        <v>332</v>
      </c>
      <c r="B232" t="s">
        <v>31</v>
      </c>
      <c r="C232" s="11">
        <v>45574</v>
      </c>
      <c r="D232" t="s">
        <v>42</v>
      </c>
      <c r="E232" t="s">
        <v>43</v>
      </c>
      <c r="F232">
        <v>985</v>
      </c>
      <c r="G232">
        <v>932</v>
      </c>
      <c r="H232">
        <v>287</v>
      </c>
      <c r="I232">
        <v>6895</v>
      </c>
      <c r="J232">
        <v>6757</v>
      </c>
      <c r="K232">
        <v>64</v>
      </c>
      <c r="L232" t="s">
        <v>24</v>
      </c>
      <c r="M232" t="s">
        <v>25</v>
      </c>
      <c r="N232" s="21">
        <v>0.31965192168237855</v>
      </c>
    </row>
    <row r="233" spans="1:14" x14ac:dyDescent="0.3">
      <c r="A233" t="s">
        <v>333</v>
      </c>
      <c r="B233" t="s">
        <v>27</v>
      </c>
      <c r="C233" s="11">
        <v>45647</v>
      </c>
      <c r="D233" t="s">
        <v>49</v>
      </c>
      <c r="E233" t="s">
        <v>50</v>
      </c>
      <c r="F233">
        <v>2283</v>
      </c>
      <c r="G233">
        <v>210</v>
      </c>
      <c r="H233">
        <v>130</v>
      </c>
      <c r="I233">
        <v>22830</v>
      </c>
      <c r="J233">
        <v>22617</v>
      </c>
      <c r="K233">
        <v>143</v>
      </c>
      <c r="L233" t="s">
        <v>24</v>
      </c>
      <c r="M233" t="s">
        <v>38</v>
      </c>
      <c r="N233" s="21">
        <v>0.11489268506351293</v>
      </c>
    </row>
    <row r="234" spans="1:14" x14ac:dyDescent="0.3">
      <c r="A234" t="s">
        <v>333</v>
      </c>
      <c r="B234" t="s">
        <v>27</v>
      </c>
      <c r="C234" s="11">
        <v>45647</v>
      </c>
      <c r="D234" t="s">
        <v>49</v>
      </c>
      <c r="E234" t="s">
        <v>50</v>
      </c>
      <c r="F234">
        <v>2283</v>
      </c>
      <c r="G234">
        <v>210</v>
      </c>
      <c r="H234">
        <v>130</v>
      </c>
      <c r="I234">
        <v>22830</v>
      </c>
      <c r="J234">
        <v>22617</v>
      </c>
      <c r="K234">
        <v>143</v>
      </c>
      <c r="L234" t="s">
        <v>58</v>
      </c>
      <c r="M234" t="s">
        <v>38</v>
      </c>
      <c r="N234" s="21">
        <v>0.11489268506351293</v>
      </c>
    </row>
    <row r="235" spans="1:14" x14ac:dyDescent="0.3">
      <c r="A235" t="s">
        <v>335</v>
      </c>
      <c r="B235" t="s">
        <v>40</v>
      </c>
      <c r="C235" s="11">
        <v>45587</v>
      </c>
      <c r="D235" t="s">
        <v>42</v>
      </c>
      <c r="E235" t="s">
        <v>43</v>
      </c>
      <c r="F235">
        <v>3352</v>
      </c>
      <c r="G235">
        <v>941</v>
      </c>
      <c r="H235">
        <v>482</v>
      </c>
      <c r="I235">
        <v>43576</v>
      </c>
      <c r="J235">
        <v>43338</v>
      </c>
      <c r="K235">
        <v>240</v>
      </c>
      <c r="L235" t="s">
        <v>44</v>
      </c>
      <c r="M235" t="s">
        <v>38</v>
      </c>
      <c r="N235" s="21">
        <v>0.1095786671562328</v>
      </c>
    </row>
    <row r="236" spans="1:14" x14ac:dyDescent="0.3">
      <c r="A236" t="s">
        <v>337</v>
      </c>
      <c r="B236" t="s">
        <v>27</v>
      </c>
      <c r="C236" s="11">
        <v>45496</v>
      </c>
      <c r="D236" t="s">
        <v>33</v>
      </c>
      <c r="E236" t="s">
        <v>34</v>
      </c>
      <c r="F236">
        <v>4775</v>
      </c>
      <c r="G236">
        <v>173</v>
      </c>
      <c r="H236">
        <v>206</v>
      </c>
      <c r="I236">
        <v>47750</v>
      </c>
      <c r="J236">
        <v>47544</v>
      </c>
      <c r="K236">
        <v>187</v>
      </c>
      <c r="L236" t="s">
        <v>58</v>
      </c>
      <c r="M236" t="s">
        <v>55</v>
      </c>
      <c r="N236" s="21">
        <v>0.10793717277486911</v>
      </c>
    </row>
    <row r="237" spans="1:14" x14ac:dyDescent="0.3">
      <c r="A237" t="s">
        <v>337</v>
      </c>
      <c r="B237" t="s">
        <v>27</v>
      </c>
      <c r="C237" s="11">
        <v>45496</v>
      </c>
      <c r="D237" t="s">
        <v>33</v>
      </c>
      <c r="E237" t="s">
        <v>34</v>
      </c>
      <c r="F237">
        <v>4775</v>
      </c>
      <c r="G237">
        <v>173</v>
      </c>
      <c r="H237">
        <v>206</v>
      </c>
      <c r="I237">
        <v>47750</v>
      </c>
      <c r="J237">
        <v>47544</v>
      </c>
      <c r="K237">
        <v>187</v>
      </c>
      <c r="L237" t="s">
        <v>44</v>
      </c>
      <c r="M237" t="s">
        <v>55</v>
      </c>
      <c r="N237" s="21">
        <v>0.10793717277486911</v>
      </c>
    </row>
    <row r="238" spans="1:14" x14ac:dyDescent="0.3">
      <c r="A238" t="s">
        <v>339</v>
      </c>
      <c r="B238" t="s">
        <v>31</v>
      </c>
      <c r="C238" s="11">
        <v>45515</v>
      </c>
      <c r="D238" t="s">
        <v>33</v>
      </c>
      <c r="E238" t="s">
        <v>34</v>
      </c>
      <c r="F238">
        <v>1762</v>
      </c>
      <c r="G238">
        <v>405</v>
      </c>
      <c r="H238">
        <v>423</v>
      </c>
      <c r="I238">
        <v>22906</v>
      </c>
      <c r="J238">
        <v>21925</v>
      </c>
      <c r="K238">
        <v>25</v>
      </c>
      <c r="L238" t="s">
        <v>77</v>
      </c>
      <c r="M238" t="s">
        <v>25</v>
      </c>
      <c r="N238" s="21">
        <v>0.11307081114118571</v>
      </c>
    </row>
    <row r="239" spans="1:14" x14ac:dyDescent="0.3">
      <c r="A239" t="s">
        <v>341</v>
      </c>
      <c r="B239" t="s">
        <v>40</v>
      </c>
      <c r="C239" s="11">
        <v>45621</v>
      </c>
      <c r="D239" t="s">
        <v>33</v>
      </c>
      <c r="E239" t="s">
        <v>34</v>
      </c>
      <c r="F239">
        <v>2120</v>
      </c>
      <c r="G239">
        <v>158</v>
      </c>
      <c r="H239">
        <v>488</v>
      </c>
      <c r="I239">
        <v>12720</v>
      </c>
      <c r="J239">
        <v>12085</v>
      </c>
      <c r="K239">
        <v>17</v>
      </c>
      <c r="L239" t="s">
        <v>58</v>
      </c>
      <c r="M239" t="s">
        <v>25</v>
      </c>
      <c r="N239" s="21">
        <v>0.21745283018867925</v>
      </c>
    </row>
    <row r="240" spans="1:14" x14ac:dyDescent="0.3">
      <c r="A240" t="s">
        <v>341</v>
      </c>
      <c r="B240" t="s">
        <v>40</v>
      </c>
      <c r="C240" s="11">
        <v>45621</v>
      </c>
      <c r="D240" t="s">
        <v>33</v>
      </c>
      <c r="E240" t="s">
        <v>34</v>
      </c>
      <c r="F240">
        <v>2120</v>
      </c>
      <c r="G240">
        <v>158</v>
      </c>
      <c r="H240">
        <v>488</v>
      </c>
      <c r="I240">
        <v>12720</v>
      </c>
      <c r="J240">
        <v>12085</v>
      </c>
      <c r="K240">
        <v>17</v>
      </c>
      <c r="L240" t="s">
        <v>44</v>
      </c>
      <c r="M240" t="s">
        <v>25</v>
      </c>
      <c r="N240" s="21">
        <v>0.21745283018867925</v>
      </c>
    </row>
    <row r="241" spans="1:14" x14ac:dyDescent="0.3">
      <c r="A241" t="s">
        <v>342</v>
      </c>
      <c r="B241" t="s">
        <v>14</v>
      </c>
      <c r="C241" s="11">
        <v>45528</v>
      </c>
      <c r="D241" t="s">
        <v>69</v>
      </c>
      <c r="E241" t="s">
        <v>70</v>
      </c>
      <c r="F241">
        <v>1082</v>
      </c>
      <c r="G241">
        <v>209</v>
      </c>
      <c r="H241">
        <v>484</v>
      </c>
      <c r="I241">
        <v>19476</v>
      </c>
      <c r="J241">
        <v>18654</v>
      </c>
      <c r="K241">
        <v>20</v>
      </c>
      <c r="L241" t="s">
        <v>58</v>
      </c>
      <c r="M241" t="s">
        <v>55</v>
      </c>
      <c r="N241" s="21">
        <v>9.1137810638734856E-2</v>
      </c>
    </row>
    <row r="242" spans="1:14" x14ac:dyDescent="0.3">
      <c r="A242" t="s">
        <v>344</v>
      </c>
      <c r="B242" t="s">
        <v>14</v>
      </c>
      <c r="C242" s="11">
        <v>45707</v>
      </c>
      <c r="D242" t="s">
        <v>22</v>
      </c>
      <c r="E242" t="s">
        <v>23</v>
      </c>
      <c r="F242">
        <v>4671</v>
      </c>
      <c r="G242">
        <v>876</v>
      </c>
      <c r="H242">
        <v>366</v>
      </c>
      <c r="I242">
        <v>51381</v>
      </c>
      <c r="J242">
        <v>50565</v>
      </c>
      <c r="K242">
        <v>245</v>
      </c>
      <c r="L242" t="s">
        <v>18</v>
      </c>
      <c r="M242" t="s">
        <v>25</v>
      </c>
      <c r="N242" s="21">
        <v>0.11508145034156594</v>
      </c>
    </row>
    <row r="243" spans="1:14" x14ac:dyDescent="0.3">
      <c r="A243" t="s">
        <v>346</v>
      </c>
      <c r="B243" t="s">
        <v>40</v>
      </c>
      <c r="C243" s="11">
        <v>45748</v>
      </c>
      <c r="D243" t="s">
        <v>33</v>
      </c>
      <c r="E243" t="s">
        <v>34</v>
      </c>
      <c r="F243">
        <v>3430</v>
      </c>
      <c r="G243">
        <v>566</v>
      </c>
      <c r="H243">
        <v>164</v>
      </c>
      <c r="I243">
        <v>48020</v>
      </c>
      <c r="J243">
        <v>47305</v>
      </c>
      <c r="K243">
        <v>120</v>
      </c>
      <c r="L243" t="s">
        <v>44</v>
      </c>
      <c r="M243" t="s">
        <v>25</v>
      </c>
      <c r="N243" s="21">
        <v>8.6630570595585168E-2</v>
      </c>
    </row>
    <row r="244" spans="1:14" x14ac:dyDescent="0.3">
      <c r="A244" t="s">
        <v>348</v>
      </c>
      <c r="B244" t="s">
        <v>31</v>
      </c>
      <c r="C244" s="11">
        <v>45755</v>
      </c>
      <c r="D244" t="s">
        <v>49</v>
      </c>
      <c r="E244" t="s">
        <v>50</v>
      </c>
      <c r="F244">
        <v>4501</v>
      </c>
      <c r="G244">
        <v>375</v>
      </c>
      <c r="H244">
        <v>323</v>
      </c>
      <c r="I244">
        <v>22505</v>
      </c>
      <c r="J244">
        <v>21836</v>
      </c>
      <c r="K244">
        <v>132</v>
      </c>
      <c r="L244" t="s">
        <v>24</v>
      </c>
      <c r="M244" t="s">
        <v>55</v>
      </c>
      <c r="N244" s="21">
        <v>0.23101532992668297</v>
      </c>
    </row>
    <row r="245" spans="1:14" x14ac:dyDescent="0.3">
      <c r="A245" t="s">
        <v>350</v>
      </c>
      <c r="B245" t="s">
        <v>27</v>
      </c>
      <c r="C245" s="11">
        <v>45715</v>
      </c>
      <c r="D245" t="s">
        <v>22</v>
      </c>
      <c r="E245" t="s">
        <v>23</v>
      </c>
      <c r="F245">
        <v>4934</v>
      </c>
      <c r="G245">
        <v>971</v>
      </c>
      <c r="H245">
        <v>156</v>
      </c>
      <c r="I245">
        <v>39472</v>
      </c>
      <c r="J245">
        <v>39025</v>
      </c>
      <c r="K245">
        <v>169</v>
      </c>
      <c r="L245" t="s">
        <v>77</v>
      </c>
      <c r="M245" t="s">
        <v>25</v>
      </c>
      <c r="N245" s="21">
        <v>0.15355188488042157</v>
      </c>
    </row>
    <row r="246" spans="1:14" x14ac:dyDescent="0.3">
      <c r="A246" t="s">
        <v>350</v>
      </c>
      <c r="B246" t="s">
        <v>27</v>
      </c>
      <c r="C246" s="11">
        <v>45715</v>
      </c>
      <c r="D246" t="s">
        <v>22</v>
      </c>
      <c r="E246" t="s">
        <v>23</v>
      </c>
      <c r="F246">
        <v>4934</v>
      </c>
      <c r="G246">
        <v>971</v>
      </c>
      <c r="H246">
        <v>156</v>
      </c>
      <c r="I246">
        <v>39472</v>
      </c>
      <c r="J246">
        <v>39025</v>
      </c>
      <c r="K246">
        <v>169</v>
      </c>
      <c r="L246" t="s">
        <v>58</v>
      </c>
      <c r="M246" t="s">
        <v>25</v>
      </c>
      <c r="N246" s="21">
        <v>0.15355188488042157</v>
      </c>
    </row>
    <row r="247" spans="1:14" x14ac:dyDescent="0.3">
      <c r="A247" t="s">
        <v>351</v>
      </c>
      <c r="B247" t="s">
        <v>14</v>
      </c>
      <c r="C247" s="11">
        <v>45637</v>
      </c>
      <c r="D247" t="s">
        <v>22</v>
      </c>
      <c r="E247" t="s">
        <v>23</v>
      </c>
      <c r="F247">
        <v>3239</v>
      </c>
      <c r="G247">
        <v>43</v>
      </c>
      <c r="H247">
        <v>211</v>
      </c>
      <c r="I247">
        <v>22673</v>
      </c>
      <c r="J247">
        <v>22171</v>
      </c>
      <c r="K247">
        <v>230</v>
      </c>
      <c r="L247" t="s">
        <v>44</v>
      </c>
      <c r="M247" t="s">
        <v>25</v>
      </c>
      <c r="N247" s="21">
        <v>0.15405989502933004</v>
      </c>
    </row>
    <row r="248" spans="1:14" x14ac:dyDescent="0.3">
      <c r="A248" t="s">
        <v>351</v>
      </c>
      <c r="B248" t="s">
        <v>14</v>
      </c>
      <c r="C248" s="11">
        <v>45637</v>
      </c>
      <c r="D248" t="s">
        <v>22</v>
      </c>
      <c r="E248" t="s">
        <v>23</v>
      </c>
      <c r="F248">
        <v>3239</v>
      </c>
      <c r="G248">
        <v>43</v>
      </c>
      <c r="H248">
        <v>211</v>
      </c>
      <c r="I248">
        <v>22673</v>
      </c>
      <c r="J248">
        <v>22171</v>
      </c>
      <c r="K248">
        <v>230</v>
      </c>
      <c r="L248" t="s">
        <v>58</v>
      </c>
      <c r="M248" t="s">
        <v>25</v>
      </c>
      <c r="N248" s="21">
        <v>0.15405989502933004</v>
      </c>
    </row>
    <row r="249" spans="1:14" x14ac:dyDescent="0.3">
      <c r="A249" t="s">
        <v>352</v>
      </c>
      <c r="B249" t="s">
        <v>14</v>
      </c>
      <c r="C249" s="11">
        <v>45704</v>
      </c>
      <c r="D249" t="s">
        <v>16</v>
      </c>
      <c r="E249" t="s">
        <v>17</v>
      </c>
      <c r="F249">
        <v>1076</v>
      </c>
      <c r="G249">
        <v>313</v>
      </c>
      <c r="H249">
        <v>306</v>
      </c>
      <c r="I249">
        <v>11836</v>
      </c>
      <c r="J249">
        <v>11596</v>
      </c>
      <c r="K249">
        <v>104</v>
      </c>
      <c r="L249" t="s">
        <v>77</v>
      </c>
      <c r="M249" t="s">
        <v>25</v>
      </c>
      <c r="N249" s="21">
        <v>0.14320716458262928</v>
      </c>
    </row>
    <row r="250" spans="1:14" x14ac:dyDescent="0.3">
      <c r="A250" t="s">
        <v>353</v>
      </c>
      <c r="B250" t="s">
        <v>31</v>
      </c>
      <c r="C250" s="11">
        <v>45624</v>
      </c>
      <c r="D250" t="s">
        <v>22</v>
      </c>
      <c r="E250" t="s">
        <v>23</v>
      </c>
      <c r="F250">
        <v>4771</v>
      </c>
      <c r="G250">
        <v>818</v>
      </c>
      <c r="H250">
        <v>56</v>
      </c>
      <c r="I250">
        <v>57252</v>
      </c>
      <c r="J250">
        <v>56378</v>
      </c>
      <c r="K250">
        <v>150</v>
      </c>
      <c r="L250" t="s">
        <v>18</v>
      </c>
      <c r="M250" t="s">
        <v>25</v>
      </c>
      <c r="N250" s="21">
        <v>9.859917557465242E-2</v>
      </c>
    </row>
    <row r="251" spans="1:14" x14ac:dyDescent="0.3">
      <c r="A251" t="s">
        <v>354</v>
      </c>
      <c r="B251" t="s">
        <v>40</v>
      </c>
      <c r="C251" s="11">
        <v>45608</v>
      </c>
      <c r="D251" t="s">
        <v>22</v>
      </c>
      <c r="E251" t="s">
        <v>23</v>
      </c>
      <c r="F251">
        <v>2418</v>
      </c>
      <c r="G251">
        <v>754</v>
      </c>
      <c r="H251">
        <v>54</v>
      </c>
      <c r="I251">
        <v>43524</v>
      </c>
      <c r="J251">
        <v>42743</v>
      </c>
      <c r="K251">
        <v>182</v>
      </c>
      <c r="L251" t="s">
        <v>24</v>
      </c>
      <c r="M251" t="s">
        <v>55</v>
      </c>
      <c r="N251" s="21">
        <v>7.412002573292896E-2</v>
      </c>
    </row>
    <row r="252" spans="1:14" x14ac:dyDescent="0.3">
      <c r="A252" t="s">
        <v>354</v>
      </c>
      <c r="B252" t="s">
        <v>40</v>
      </c>
      <c r="C252" s="11">
        <v>45608</v>
      </c>
      <c r="D252" t="s">
        <v>22</v>
      </c>
      <c r="E252" t="s">
        <v>23</v>
      </c>
      <c r="F252">
        <v>2418</v>
      </c>
      <c r="G252">
        <v>754</v>
      </c>
      <c r="H252">
        <v>54</v>
      </c>
      <c r="I252">
        <v>43524</v>
      </c>
      <c r="J252">
        <v>42743</v>
      </c>
      <c r="K252">
        <v>182</v>
      </c>
      <c r="L252" t="s">
        <v>44</v>
      </c>
      <c r="M252" t="s">
        <v>55</v>
      </c>
      <c r="N252" s="21">
        <v>7.412002573292896E-2</v>
      </c>
    </row>
    <row r="253" spans="1:14" x14ac:dyDescent="0.3">
      <c r="A253" t="s">
        <v>356</v>
      </c>
      <c r="B253" t="s">
        <v>27</v>
      </c>
      <c r="C253" s="11">
        <v>45629</v>
      </c>
      <c r="D253" t="s">
        <v>69</v>
      </c>
      <c r="E253" t="s">
        <v>70</v>
      </c>
      <c r="F253">
        <v>3809</v>
      </c>
      <c r="G253">
        <v>273</v>
      </c>
      <c r="H253">
        <v>200</v>
      </c>
      <c r="I253">
        <v>34281</v>
      </c>
      <c r="J253">
        <v>33534</v>
      </c>
      <c r="K253">
        <v>83</v>
      </c>
      <c r="L253" t="s">
        <v>44</v>
      </c>
      <c r="M253" t="s">
        <v>38</v>
      </c>
      <c r="N253" s="21">
        <v>0.12490884163239112</v>
      </c>
    </row>
    <row r="254" spans="1:14" x14ac:dyDescent="0.3">
      <c r="A254" t="s">
        <v>358</v>
      </c>
      <c r="B254" t="s">
        <v>14</v>
      </c>
      <c r="C254" s="11">
        <v>45775</v>
      </c>
      <c r="D254" t="s">
        <v>22</v>
      </c>
      <c r="E254" t="s">
        <v>23</v>
      </c>
      <c r="F254">
        <v>3577</v>
      </c>
      <c r="G254">
        <v>596</v>
      </c>
      <c r="H254">
        <v>493</v>
      </c>
      <c r="I254">
        <v>67963</v>
      </c>
      <c r="J254">
        <v>67839</v>
      </c>
      <c r="K254">
        <v>53</v>
      </c>
      <c r="L254" t="s">
        <v>58</v>
      </c>
      <c r="M254" t="s">
        <v>55</v>
      </c>
      <c r="N254" s="21">
        <v>6.8655003457763777E-2</v>
      </c>
    </row>
    <row r="255" spans="1:14" x14ac:dyDescent="0.3">
      <c r="A255" t="s">
        <v>358</v>
      </c>
      <c r="B255" t="s">
        <v>14</v>
      </c>
      <c r="C255" s="11">
        <v>45775</v>
      </c>
      <c r="D255" t="s">
        <v>22</v>
      </c>
      <c r="E255" t="s">
        <v>23</v>
      </c>
      <c r="F255">
        <v>3577</v>
      </c>
      <c r="G255">
        <v>596</v>
      </c>
      <c r="H255">
        <v>493</v>
      </c>
      <c r="I255">
        <v>67963</v>
      </c>
      <c r="J255">
        <v>67839</v>
      </c>
      <c r="K255">
        <v>53</v>
      </c>
      <c r="L255" t="s">
        <v>44</v>
      </c>
      <c r="M255" t="s">
        <v>55</v>
      </c>
      <c r="N255" s="21">
        <v>6.8655003457763777E-2</v>
      </c>
    </row>
    <row r="256" spans="1:14" x14ac:dyDescent="0.3">
      <c r="A256" t="s">
        <v>360</v>
      </c>
      <c r="B256" t="s">
        <v>27</v>
      </c>
      <c r="C256" s="11">
        <v>45657</v>
      </c>
      <c r="D256" t="s">
        <v>69</v>
      </c>
      <c r="E256" t="s">
        <v>70</v>
      </c>
      <c r="F256">
        <v>1018</v>
      </c>
      <c r="G256">
        <v>447</v>
      </c>
      <c r="H256">
        <v>332</v>
      </c>
      <c r="I256">
        <v>18324</v>
      </c>
      <c r="J256">
        <v>18164</v>
      </c>
      <c r="K256">
        <v>38</v>
      </c>
      <c r="L256" t="s">
        <v>18</v>
      </c>
      <c r="M256" t="s">
        <v>55</v>
      </c>
      <c r="N256" s="21">
        <v>9.8068107400130972E-2</v>
      </c>
    </row>
    <row r="257" spans="1:14" x14ac:dyDescent="0.3">
      <c r="A257" t="s">
        <v>360</v>
      </c>
      <c r="B257" t="s">
        <v>27</v>
      </c>
      <c r="C257" s="11">
        <v>45657</v>
      </c>
      <c r="D257" t="s">
        <v>69</v>
      </c>
      <c r="E257" t="s">
        <v>70</v>
      </c>
      <c r="F257">
        <v>1018</v>
      </c>
      <c r="G257">
        <v>447</v>
      </c>
      <c r="H257">
        <v>332</v>
      </c>
      <c r="I257">
        <v>18324</v>
      </c>
      <c r="J257">
        <v>18164</v>
      </c>
      <c r="K257">
        <v>38</v>
      </c>
      <c r="L257" t="s">
        <v>24</v>
      </c>
      <c r="M257" t="s">
        <v>55</v>
      </c>
      <c r="N257" s="21">
        <v>9.8068107400130972E-2</v>
      </c>
    </row>
    <row r="258" spans="1:14" x14ac:dyDescent="0.3">
      <c r="A258" t="s">
        <v>362</v>
      </c>
      <c r="B258" t="s">
        <v>40</v>
      </c>
      <c r="C258" s="11">
        <v>45518</v>
      </c>
      <c r="D258" t="s">
        <v>42</v>
      </c>
      <c r="E258" t="s">
        <v>43</v>
      </c>
      <c r="F258">
        <v>3073</v>
      </c>
      <c r="G258">
        <v>553</v>
      </c>
      <c r="H258">
        <v>174</v>
      </c>
      <c r="I258">
        <v>52241</v>
      </c>
      <c r="J258">
        <v>51605</v>
      </c>
      <c r="K258">
        <v>246</v>
      </c>
      <c r="L258" t="s">
        <v>24</v>
      </c>
      <c r="M258" t="s">
        <v>55</v>
      </c>
      <c r="N258" s="21">
        <v>7.2739802071170159E-2</v>
      </c>
    </row>
    <row r="259" spans="1:14" x14ac:dyDescent="0.3">
      <c r="A259" t="s">
        <v>362</v>
      </c>
      <c r="B259" t="s">
        <v>40</v>
      </c>
      <c r="C259" s="11">
        <v>45518</v>
      </c>
      <c r="D259" t="s">
        <v>42</v>
      </c>
      <c r="E259" t="s">
        <v>43</v>
      </c>
      <c r="F259">
        <v>3073</v>
      </c>
      <c r="G259">
        <v>553</v>
      </c>
      <c r="H259">
        <v>174</v>
      </c>
      <c r="I259">
        <v>52241</v>
      </c>
      <c r="J259">
        <v>51605</v>
      </c>
      <c r="K259">
        <v>246</v>
      </c>
      <c r="L259" t="s">
        <v>58</v>
      </c>
      <c r="M259" t="s">
        <v>55</v>
      </c>
      <c r="N259" s="21">
        <v>7.2739802071170159E-2</v>
      </c>
    </row>
    <row r="260" spans="1:14" x14ac:dyDescent="0.3">
      <c r="A260" t="s">
        <v>364</v>
      </c>
      <c r="B260" t="s">
        <v>14</v>
      </c>
      <c r="C260" s="11">
        <v>45631</v>
      </c>
      <c r="D260" t="s">
        <v>69</v>
      </c>
      <c r="E260" t="s">
        <v>70</v>
      </c>
      <c r="F260">
        <v>1330</v>
      </c>
      <c r="G260">
        <v>925</v>
      </c>
      <c r="H260">
        <v>35</v>
      </c>
      <c r="I260">
        <v>15960</v>
      </c>
      <c r="J260">
        <v>15379</v>
      </c>
      <c r="K260">
        <v>229</v>
      </c>
      <c r="L260" t="s">
        <v>77</v>
      </c>
      <c r="M260" t="s">
        <v>55</v>
      </c>
      <c r="N260" s="21">
        <v>0.14348370927318296</v>
      </c>
    </row>
    <row r="261" spans="1:14" x14ac:dyDescent="0.3">
      <c r="A261" t="s">
        <v>364</v>
      </c>
      <c r="B261" t="s">
        <v>14</v>
      </c>
      <c r="C261" s="11">
        <v>45631</v>
      </c>
      <c r="D261" t="s">
        <v>69</v>
      </c>
      <c r="E261" t="s">
        <v>70</v>
      </c>
      <c r="F261">
        <v>1330</v>
      </c>
      <c r="G261">
        <v>925</v>
      </c>
      <c r="H261">
        <v>35</v>
      </c>
      <c r="I261">
        <v>15960</v>
      </c>
      <c r="J261">
        <v>15379</v>
      </c>
      <c r="K261">
        <v>229</v>
      </c>
      <c r="L261" t="s">
        <v>44</v>
      </c>
      <c r="M261" t="s">
        <v>55</v>
      </c>
      <c r="N261" s="21">
        <v>0.14348370927318296</v>
      </c>
    </row>
    <row r="262" spans="1:14" x14ac:dyDescent="0.3">
      <c r="A262" t="s">
        <v>366</v>
      </c>
      <c r="B262" t="s">
        <v>40</v>
      </c>
      <c r="C262" s="11">
        <v>45465</v>
      </c>
      <c r="D262" t="s">
        <v>22</v>
      </c>
      <c r="E262" t="s">
        <v>23</v>
      </c>
      <c r="F262">
        <v>3828</v>
      </c>
      <c r="G262">
        <v>148</v>
      </c>
      <c r="H262">
        <v>253</v>
      </c>
      <c r="I262">
        <v>30624</v>
      </c>
      <c r="J262">
        <v>30229</v>
      </c>
      <c r="K262">
        <v>235</v>
      </c>
      <c r="L262" t="s">
        <v>18</v>
      </c>
      <c r="M262" t="s">
        <v>55</v>
      </c>
      <c r="N262" s="21">
        <v>0.13809430512016718</v>
      </c>
    </row>
    <row r="263" spans="1:14" x14ac:dyDescent="0.3">
      <c r="A263" t="s">
        <v>366</v>
      </c>
      <c r="B263" t="s">
        <v>40</v>
      </c>
      <c r="C263" s="11">
        <v>45465</v>
      </c>
      <c r="D263" t="s">
        <v>22</v>
      </c>
      <c r="E263" t="s">
        <v>23</v>
      </c>
      <c r="F263">
        <v>3828</v>
      </c>
      <c r="G263">
        <v>148</v>
      </c>
      <c r="H263">
        <v>253</v>
      </c>
      <c r="I263">
        <v>30624</v>
      </c>
      <c r="J263">
        <v>30229</v>
      </c>
      <c r="K263">
        <v>235</v>
      </c>
      <c r="L263" t="s">
        <v>58</v>
      </c>
      <c r="M263" t="s">
        <v>55</v>
      </c>
      <c r="N263" s="21">
        <v>0.13809430512016718</v>
      </c>
    </row>
    <row r="264" spans="1:14" x14ac:dyDescent="0.3">
      <c r="A264" t="s">
        <v>367</v>
      </c>
      <c r="B264" t="s">
        <v>31</v>
      </c>
      <c r="C264" s="11">
        <v>45674</v>
      </c>
      <c r="D264" t="s">
        <v>16</v>
      </c>
      <c r="E264" t="s">
        <v>17</v>
      </c>
      <c r="F264">
        <v>142</v>
      </c>
      <c r="G264">
        <v>784</v>
      </c>
      <c r="H264">
        <v>183</v>
      </c>
      <c r="I264">
        <v>1704</v>
      </c>
      <c r="J264">
        <v>995</v>
      </c>
      <c r="K264">
        <v>154</v>
      </c>
      <c r="L264" t="s">
        <v>18</v>
      </c>
      <c r="M264" t="s">
        <v>19</v>
      </c>
      <c r="N264" s="21">
        <v>0.6508215962441315</v>
      </c>
    </row>
    <row r="265" spans="1:14" x14ac:dyDescent="0.3">
      <c r="A265" t="s">
        <v>369</v>
      </c>
      <c r="B265" t="s">
        <v>40</v>
      </c>
      <c r="C265" s="11">
        <v>45463</v>
      </c>
      <c r="D265" t="s">
        <v>69</v>
      </c>
      <c r="E265" t="s">
        <v>70</v>
      </c>
      <c r="F265">
        <v>3798</v>
      </c>
      <c r="G265">
        <v>31</v>
      </c>
      <c r="H265">
        <v>279</v>
      </c>
      <c r="I265">
        <v>75960</v>
      </c>
      <c r="J265">
        <v>75813</v>
      </c>
      <c r="K265">
        <v>266</v>
      </c>
      <c r="L265" t="s">
        <v>24</v>
      </c>
      <c r="M265" t="s">
        <v>25</v>
      </c>
      <c r="N265" s="21">
        <v>5.4081095313322801E-2</v>
      </c>
    </row>
    <row r="266" spans="1:14" x14ac:dyDescent="0.3">
      <c r="A266" t="s">
        <v>371</v>
      </c>
      <c r="B266" t="s">
        <v>31</v>
      </c>
      <c r="C266" s="11">
        <v>45483</v>
      </c>
      <c r="D266" t="s">
        <v>42</v>
      </c>
      <c r="E266" t="s">
        <v>43</v>
      </c>
      <c r="F266">
        <v>3099</v>
      </c>
      <c r="G266">
        <v>694</v>
      </c>
      <c r="H266">
        <v>171</v>
      </c>
      <c r="I266">
        <v>43386</v>
      </c>
      <c r="J266">
        <v>42921</v>
      </c>
      <c r="K266">
        <v>52</v>
      </c>
      <c r="L266" t="s">
        <v>77</v>
      </c>
      <c r="M266" t="s">
        <v>55</v>
      </c>
      <c r="N266" s="21">
        <v>9.1365878393951966E-2</v>
      </c>
    </row>
    <row r="267" spans="1:14" x14ac:dyDescent="0.3">
      <c r="A267" t="s">
        <v>373</v>
      </c>
      <c r="B267" t="s">
        <v>31</v>
      </c>
      <c r="C267" s="11">
        <v>45603</v>
      </c>
      <c r="D267" t="s">
        <v>69</v>
      </c>
      <c r="E267" t="s">
        <v>70</v>
      </c>
      <c r="F267">
        <v>129</v>
      </c>
      <c r="G267">
        <v>643</v>
      </c>
      <c r="H267">
        <v>136</v>
      </c>
      <c r="I267">
        <v>1290</v>
      </c>
      <c r="J267">
        <v>839</v>
      </c>
      <c r="K267">
        <v>238</v>
      </c>
      <c r="L267" t="s">
        <v>58</v>
      </c>
      <c r="M267" t="s">
        <v>55</v>
      </c>
      <c r="N267" s="21">
        <v>0.70387596899224802</v>
      </c>
    </row>
    <row r="268" spans="1:14" x14ac:dyDescent="0.3">
      <c r="A268" t="s">
        <v>373</v>
      </c>
      <c r="B268" t="s">
        <v>31</v>
      </c>
      <c r="C268" s="11">
        <v>45603</v>
      </c>
      <c r="D268" t="s">
        <v>69</v>
      </c>
      <c r="E268" t="s">
        <v>70</v>
      </c>
      <c r="F268">
        <v>129</v>
      </c>
      <c r="G268">
        <v>643</v>
      </c>
      <c r="H268">
        <v>136</v>
      </c>
      <c r="I268">
        <v>1290</v>
      </c>
      <c r="J268">
        <v>839</v>
      </c>
      <c r="K268">
        <v>238</v>
      </c>
      <c r="L268" t="s">
        <v>77</v>
      </c>
      <c r="M268" t="s">
        <v>55</v>
      </c>
      <c r="N268" s="21">
        <v>0.70387596899224802</v>
      </c>
    </row>
    <row r="269" spans="1:14" x14ac:dyDescent="0.3">
      <c r="A269" t="s">
        <v>374</v>
      </c>
      <c r="B269" t="s">
        <v>40</v>
      </c>
      <c r="C269" s="11">
        <v>45488</v>
      </c>
      <c r="D269" t="s">
        <v>42</v>
      </c>
      <c r="E269" t="s">
        <v>43</v>
      </c>
      <c r="F269">
        <v>3796</v>
      </c>
      <c r="G269">
        <v>667</v>
      </c>
      <c r="H269">
        <v>395</v>
      </c>
      <c r="I269">
        <v>64532</v>
      </c>
      <c r="J269">
        <v>63550</v>
      </c>
      <c r="K269">
        <v>292</v>
      </c>
      <c r="L269" t="s">
        <v>58</v>
      </c>
      <c r="M269" t="s">
        <v>19</v>
      </c>
      <c r="N269" s="21">
        <v>7.5280481001673588E-2</v>
      </c>
    </row>
    <row r="270" spans="1:14" x14ac:dyDescent="0.3">
      <c r="A270" t="s">
        <v>375</v>
      </c>
      <c r="B270" t="s">
        <v>27</v>
      </c>
      <c r="C270" s="11">
        <v>45629</v>
      </c>
      <c r="D270" t="s">
        <v>22</v>
      </c>
      <c r="E270" t="s">
        <v>23</v>
      </c>
      <c r="F270">
        <v>3711</v>
      </c>
      <c r="G270">
        <v>352</v>
      </c>
      <c r="H270">
        <v>290</v>
      </c>
      <c r="I270">
        <v>48243</v>
      </c>
      <c r="J270">
        <v>47579</v>
      </c>
      <c r="K270">
        <v>11</v>
      </c>
      <c r="L270" t="s">
        <v>58</v>
      </c>
      <c r="M270" t="s">
        <v>55</v>
      </c>
      <c r="N270" s="21">
        <v>9.023070704558174E-2</v>
      </c>
    </row>
    <row r="271" spans="1:14" x14ac:dyDescent="0.3">
      <c r="A271" t="s">
        <v>375</v>
      </c>
      <c r="B271" t="s">
        <v>27</v>
      </c>
      <c r="C271" s="11">
        <v>45629</v>
      </c>
      <c r="D271" t="s">
        <v>22</v>
      </c>
      <c r="E271" t="s">
        <v>23</v>
      </c>
      <c r="F271">
        <v>3711</v>
      </c>
      <c r="G271">
        <v>352</v>
      </c>
      <c r="H271">
        <v>290</v>
      </c>
      <c r="I271">
        <v>48243</v>
      </c>
      <c r="J271">
        <v>47579</v>
      </c>
      <c r="K271">
        <v>11</v>
      </c>
      <c r="L271" t="s">
        <v>77</v>
      </c>
      <c r="M271" t="s">
        <v>55</v>
      </c>
      <c r="N271" s="21">
        <v>9.023070704558174E-2</v>
      </c>
    </row>
    <row r="272" spans="1:14" x14ac:dyDescent="0.3">
      <c r="A272" t="s">
        <v>376</v>
      </c>
      <c r="B272" t="s">
        <v>27</v>
      </c>
      <c r="C272" s="11">
        <v>45737</v>
      </c>
      <c r="D272" t="s">
        <v>49</v>
      </c>
      <c r="E272" t="s">
        <v>50</v>
      </c>
      <c r="F272">
        <v>606</v>
      </c>
      <c r="G272">
        <v>789</v>
      </c>
      <c r="H272">
        <v>470</v>
      </c>
      <c r="I272">
        <v>7878</v>
      </c>
      <c r="J272">
        <v>7389</v>
      </c>
      <c r="K272">
        <v>239</v>
      </c>
      <c r="L272" t="s">
        <v>18</v>
      </c>
      <c r="M272" t="s">
        <v>25</v>
      </c>
      <c r="N272" s="21">
        <v>0.23673521198273673</v>
      </c>
    </row>
    <row r="273" spans="1:14" x14ac:dyDescent="0.3">
      <c r="A273" t="s">
        <v>378</v>
      </c>
      <c r="B273" t="s">
        <v>40</v>
      </c>
      <c r="C273" s="11">
        <v>45504</v>
      </c>
      <c r="D273" t="s">
        <v>49</v>
      </c>
      <c r="E273" t="s">
        <v>50</v>
      </c>
      <c r="F273">
        <v>4689</v>
      </c>
      <c r="G273">
        <v>134</v>
      </c>
      <c r="H273">
        <v>403</v>
      </c>
      <c r="I273">
        <v>51579</v>
      </c>
      <c r="J273">
        <v>50924</v>
      </c>
      <c r="K273">
        <v>173</v>
      </c>
      <c r="L273" t="s">
        <v>77</v>
      </c>
      <c r="M273" t="s">
        <v>19</v>
      </c>
      <c r="N273" s="21">
        <v>0.10132030477519921</v>
      </c>
    </row>
    <row r="274" spans="1:14" x14ac:dyDescent="0.3">
      <c r="A274" t="s">
        <v>379</v>
      </c>
      <c r="B274" t="s">
        <v>31</v>
      </c>
      <c r="C274" s="11">
        <v>45643</v>
      </c>
      <c r="D274" t="s">
        <v>33</v>
      </c>
      <c r="E274" t="s">
        <v>34</v>
      </c>
      <c r="F274">
        <v>360</v>
      </c>
      <c r="G274">
        <v>590</v>
      </c>
      <c r="H274">
        <v>393</v>
      </c>
      <c r="I274">
        <v>4680</v>
      </c>
      <c r="J274">
        <v>4322</v>
      </c>
      <c r="K274">
        <v>208</v>
      </c>
      <c r="L274" t="s">
        <v>58</v>
      </c>
      <c r="M274" t="s">
        <v>25</v>
      </c>
      <c r="N274" s="21">
        <v>0.28696581196581195</v>
      </c>
    </row>
    <row r="275" spans="1:14" x14ac:dyDescent="0.3">
      <c r="A275" t="s">
        <v>379</v>
      </c>
      <c r="B275" t="s">
        <v>31</v>
      </c>
      <c r="C275" s="11">
        <v>45643</v>
      </c>
      <c r="D275" t="s">
        <v>33</v>
      </c>
      <c r="E275" t="s">
        <v>34</v>
      </c>
      <c r="F275">
        <v>360</v>
      </c>
      <c r="G275">
        <v>590</v>
      </c>
      <c r="H275">
        <v>393</v>
      </c>
      <c r="I275">
        <v>4680</v>
      </c>
      <c r="J275">
        <v>4322</v>
      </c>
      <c r="K275">
        <v>208</v>
      </c>
      <c r="L275" t="s">
        <v>77</v>
      </c>
      <c r="M275" t="s">
        <v>25</v>
      </c>
      <c r="N275" s="21">
        <v>0.28696581196581195</v>
      </c>
    </row>
    <row r="276" spans="1:14" x14ac:dyDescent="0.3">
      <c r="A276" t="s">
        <v>381</v>
      </c>
      <c r="B276" t="s">
        <v>14</v>
      </c>
      <c r="C276" s="11">
        <v>45501</v>
      </c>
      <c r="D276" t="s">
        <v>49</v>
      </c>
      <c r="E276" t="s">
        <v>50</v>
      </c>
      <c r="F276">
        <v>3215</v>
      </c>
      <c r="G276">
        <v>960</v>
      </c>
      <c r="H276">
        <v>202</v>
      </c>
      <c r="I276">
        <v>32150</v>
      </c>
      <c r="J276">
        <v>31404</v>
      </c>
      <c r="K276">
        <v>251</v>
      </c>
      <c r="L276" t="s">
        <v>58</v>
      </c>
      <c r="M276" t="s">
        <v>38</v>
      </c>
      <c r="N276" s="21">
        <v>0.13614307931570763</v>
      </c>
    </row>
    <row r="277" spans="1:14" x14ac:dyDescent="0.3">
      <c r="A277" t="s">
        <v>383</v>
      </c>
      <c r="B277" t="s">
        <v>31</v>
      </c>
      <c r="C277" s="11">
        <v>45668</v>
      </c>
      <c r="D277" t="s">
        <v>42</v>
      </c>
      <c r="E277" t="s">
        <v>43</v>
      </c>
      <c r="F277">
        <v>4523</v>
      </c>
      <c r="G277">
        <v>61</v>
      </c>
      <c r="H277">
        <v>157</v>
      </c>
      <c r="I277">
        <v>49753</v>
      </c>
      <c r="J277">
        <v>49329</v>
      </c>
      <c r="K277">
        <v>71</v>
      </c>
      <c r="L277" t="s">
        <v>18</v>
      </c>
      <c r="M277" t="s">
        <v>55</v>
      </c>
      <c r="N277" s="21">
        <v>9.5290736237010829E-2</v>
      </c>
    </row>
    <row r="278" spans="1:14" x14ac:dyDescent="0.3">
      <c r="A278" t="s">
        <v>383</v>
      </c>
      <c r="B278" t="s">
        <v>31</v>
      </c>
      <c r="C278" s="11">
        <v>45668</v>
      </c>
      <c r="D278" t="s">
        <v>42</v>
      </c>
      <c r="E278" t="s">
        <v>43</v>
      </c>
      <c r="F278">
        <v>4523</v>
      </c>
      <c r="G278">
        <v>61</v>
      </c>
      <c r="H278">
        <v>157</v>
      </c>
      <c r="I278">
        <v>49753</v>
      </c>
      <c r="J278">
        <v>49329</v>
      </c>
      <c r="K278">
        <v>71</v>
      </c>
      <c r="L278" t="s">
        <v>44</v>
      </c>
      <c r="M278" t="s">
        <v>55</v>
      </c>
      <c r="N278" s="21">
        <v>9.5290736237010829E-2</v>
      </c>
    </row>
    <row r="279" spans="1:14" x14ac:dyDescent="0.3">
      <c r="A279" t="s">
        <v>385</v>
      </c>
      <c r="B279" t="s">
        <v>40</v>
      </c>
      <c r="C279" s="11">
        <v>45528</v>
      </c>
      <c r="D279" t="s">
        <v>42</v>
      </c>
      <c r="E279" t="s">
        <v>43</v>
      </c>
      <c r="F279">
        <v>4292</v>
      </c>
      <c r="G279">
        <v>51</v>
      </c>
      <c r="H279">
        <v>392</v>
      </c>
      <c r="I279">
        <v>55796</v>
      </c>
      <c r="J279">
        <v>54826</v>
      </c>
      <c r="K279">
        <v>264</v>
      </c>
      <c r="L279" t="s">
        <v>44</v>
      </c>
      <c r="M279" t="s">
        <v>19</v>
      </c>
      <c r="N279" s="21">
        <v>8.4862714173059003E-2</v>
      </c>
    </row>
    <row r="280" spans="1:14" x14ac:dyDescent="0.3">
      <c r="A280" t="s">
        <v>385</v>
      </c>
      <c r="B280" t="s">
        <v>40</v>
      </c>
      <c r="C280" s="11">
        <v>45528</v>
      </c>
      <c r="D280" t="s">
        <v>42</v>
      </c>
      <c r="E280" t="s">
        <v>43</v>
      </c>
      <c r="F280">
        <v>4292</v>
      </c>
      <c r="G280">
        <v>51</v>
      </c>
      <c r="H280">
        <v>392</v>
      </c>
      <c r="I280">
        <v>55796</v>
      </c>
      <c r="J280">
        <v>54826</v>
      </c>
      <c r="K280">
        <v>264</v>
      </c>
      <c r="L280" t="s">
        <v>58</v>
      </c>
      <c r="M280" t="s">
        <v>19</v>
      </c>
      <c r="N280" s="21">
        <v>8.4862714173059003E-2</v>
      </c>
    </row>
    <row r="281" spans="1:14" x14ac:dyDescent="0.3">
      <c r="A281" t="s">
        <v>386</v>
      </c>
      <c r="B281" t="s">
        <v>14</v>
      </c>
      <c r="C281" s="11">
        <v>45648</v>
      </c>
      <c r="D281" t="s">
        <v>16</v>
      </c>
      <c r="E281" t="s">
        <v>17</v>
      </c>
      <c r="F281">
        <v>1644</v>
      </c>
      <c r="G281">
        <v>546</v>
      </c>
      <c r="H281">
        <v>150</v>
      </c>
      <c r="I281">
        <v>27948</v>
      </c>
      <c r="J281">
        <v>27184</v>
      </c>
      <c r="K281">
        <v>300</v>
      </c>
      <c r="L281" t="s">
        <v>18</v>
      </c>
      <c r="M281" t="s">
        <v>19</v>
      </c>
      <c r="N281" s="21">
        <v>8.3726921425504502E-2</v>
      </c>
    </row>
    <row r="282" spans="1:14" x14ac:dyDescent="0.3">
      <c r="A282" t="s">
        <v>386</v>
      </c>
      <c r="B282" t="s">
        <v>14</v>
      </c>
      <c r="C282" s="11">
        <v>45648</v>
      </c>
      <c r="D282" t="s">
        <v>16</v>
      </c>
      <c r="E282" t="s">
        <v>17</v>
      </c>
      <c r="F282">
        <v>1644</v>
      </c>
      <c r="G282">
        <v>546</v>
      </c>
      <c r="H282">
        <v>150</v>
      </c>
      <c r="I282">
        <v>27948</v>
      </c>
      <c r="J282">
        <v>27184</v>
      </c>
      <c r="K282">
        <v>300</v>
      </c>
      <c r="L282" t="s">
        <v>44</v>
      </c>
      <c r="M282" t="s">
        <v>19</v>
      </c>
      <c r="N282" s="21">
        <v>8.3726921425504502E-2</v>
      </c>
    </row>
    <row r="283" spans="1:14" x14ac:dyDescent="0.3">
      <c r="A283" t="s">
        <v>388</v>
      </c>
      <c r="B283" t="s">
        <v>27</v>
      </c>
      <c r="C283" s="11">
        <v>45449</v>
      </c>
      <c r="D283" t="s">
        <v>16</v>
      </c>
      <c r="E283" t="s">
        <v>17</v>
      </c>
      <c r="F283">
        <v>2728</v>
      </c>
      <c r="G283">
        <v>533</v>
      </c>
      <c r="H283">
        <v>215</v>
      </c>
      <c r="I283">
        <v>40920</v>
      </c>
      <c r="J283">
        <v>40816</v>
      </c>
      <c r="K283">
        <v>137</v>
      </c>
      <c r="L283" t="s">
        <v>18</v>
      </c>
      <c r="M283" t="s">
        <v>25</v>
      </c>
      <c r="N283" s="21">
        <v>8.4946236559139784E-2</v>
      </c>
    </row>
    <row r="284" spans="1:14" x14ac:dyDescent="0.3">
      <c r="A284" t="s">
        <v>389</v>
      </c>
      <c r="B284" t="s">
        <v>40</v>
      </c>
      <c r="C284" s="11">
        <v>45740</v>
      </c>
      <c r="D284" t="s">
        <v>16</v>
      </c>
      <c r="E284" t="s">
        <v>17</v>
      </c>
      <c r="F284">
        <v>3360</v>
      </c>
      <c r="G284">
        <v>525</v>
      </c>
      <c r="H284">
        <v>500</v>
      </c>
      <c r="I284">
        <v>60480</v>
      </c>
      <c r="J284">
        <v>59610</v>
      </c>
      <c r="K284">
        <v>192</v>
      </c>
      <c r="L284" t="s">
        <v>18</v>
      </c>
      <c r="M284" t="s">
        <v>19</v>
      </c>
      <c r="N284" s="21">
        <v>7.2503306878306875E-2</v>
      </c>
    </row>
    <row r="285" spans="1:14" x14ac:dyDescent="0.3">
      <c r="A285" t="s">
        <v>389</v>
      </c>
      <c r="B285" t="s">
        <v>40</v>
      </c>
      <c r="C285" s="11">
        <v>45740</v>
      </c>
      <c r="D285" t="s">
        <v>16</v>
      </c>
      <c r="E285" t="s">
        <v>17</v>
      </c>
      <c r="F285">
        <v>3360</v>
      </c>
      <c r="G285">
        <v>525</v>
      </c>
      <c r="H285">
        <v>500</v>
      </c>
      <c r="I285">
        <v>60480</v>
      </c>
      <c r="J285">
        <v>59610</v>
      </c>
      <c r="K285">
        <v>192</v>
      </c>
      <c r="L285" t="s">
        <v>58</v>
      </c>
      <c r="M285" t="s">
        <v>19</v>
      </c>
      <c r="N285" s="21">
        <v>7.2503306878306875E-2</v>
      </c>
    </row>
    <row r="286" spans="1:14" x14ac:dyDescent="0.3">
      <c r="A286" t="s">
        <v>390</v>
      </c>
      <c r="B286" t="s">
        <v>27</v>
      </c>
      <c r="C286" s="11">
        <v>45569</v>
      </c>
      <c r="D286" t="s">
        <v>22</v>
      </c>
      <c r="E286" t="s">
        <v>23</v>
      </c>
      <c r="F286">
        <v>1963</v>
      </c>
      <c r="G286">
        <v>213</v>
      </c>
      <c r="H286">
        <v>19</v>
      </c>
      <c r="I286">
        <v>39260</v>
      </c>
      <c r="J286">
        <v>38771</v>
      </c>
      <c r="K286">
        <v>145</v>
      </c>
      <c r="L286" t="s">
        <v>58</v>
      </c>
      <c r="M286" t="s">
        <v>19</v>
      </c>
      <c r="N286" s="21">
        <v>5.5909322465613857E-2</v>
      </c>
    </row>
    <row r="287" spans="1:14" x14ac:dyDescent="0.3">
      <c r="A287" t="s">
        <v>392</v>
      </c>
      <c r="B287" t="s">
        <v>27</v>
      </c>
      <c r="C287" s="11">
        <v>45629</v>
      </c>
      <c r="D287" t="s">
        <v>33</v>
      </c>
      <c r="E287" t="s">
        <v>34</v>
      </c>
      <c r="F287">
        <v>4285</v>
      </c>
      <c r="G287">
        <v>886</v>
      </c>
      <c r="H287">
        <v>376</v>
      </c>
      <c r="I287">
        <v>55705</v>
      </c>
      <c r="J287">
        <v>55556</v>
      </c>
      <c r="K287">
        <v>51</v>
      </c>
      <c r="L287" t="s">
        <v>24</v>
      </c>
      <c r="M287" t="s">
        <v>55</v>
      </c>
      <c r="N287" s="21">
        <v>9.9578134817341346E-2</v>
      </c>
    </row>
    <row r="288" spans="1:14" x14ac:dyDescent="0.3">
      <c r="A288" t="s">
        <v>392</v>
      </c>
      <c r="B288" t="s">
        <v>27</v>
      </c>
      <c r="C288" s="11">
        <v>45629</v>
      </c>
      <c r="D288" t="s">
        <v>33</v>
      </c>
      <c r="E288" t="s">
        <v>34</v>
      </c>
      <c r="F288">
        <v>4285</v>
      </c>
      <c r="G288">
        <v>886</v>
      </c>
      <c r="H288">
        <v>376</v>
      </c>
      <c r="I288">
        <v>55705</v>
      </c>
      <c r="J288">
        <v>55556</v>
      </c>
      <c r="K288">
        <v>51</v>
      </c>
      <c r="L288" t="s">
        <v>77</v>
      </c>
      <c r="M288" t="s">
        <v>55</v>
      </c>
      <c r="N288" s="21">
        <v>9.9578134817341346E-2</v>
      </c>
    </row>
    <row r="289" spans="1:14" x14ac:dyDescent="0.3">
      <c r="A289" t="s">
        <v>393</v>
      </c>
      <c r="B289" t="s">
        <v>31</v>
      </c>
      <c r="C289" s="11">
        <v>45625</v>
      </c>
      <c r="D289" t="s">
        <v>69</v>
      </c>
      <c r="E289" t="s">
        <v>70</v>
      </c>
      <c r="F289">
        <v>1176</v>
      </c>
      <c r="G289">
        <v>464</v>
      </c>
      <c r="H289">
        <v>394</v>
      </c>
      <c r="I289">
        <v>14112</v>
      </c>
      <c r="J289">
        <v>13588</v>
      </c>
      <c r="K289">
        <v>272</v>
      </c>
      <c r="L289" t="s">
        <v>77</v>
      </c>
      <c r="M289" t="s">
        <v>19</v>
      </c>
      <c r="N289" s="21">
        <v>0.1441326530612245</v>
      </c>
    </row>
    <row r="290" spans="1:14" x14ac:dyDescent="0.3">
      <c r="A290" t="s">
        <v>395</v>
      </c>
      <c r="B290" t="s">
        <v>14</v>
      </c>
      <c r="C290" s="11">
        <v>45546</v>
      </c>
      <c r="D290" t="s">
        <v>49</v>
      </c>
      <c r="E290" t="s">
        <v>50</v>
      </c>
      <c r="F290">
        <v>4858</v>
      </c>
      <c r="G290">
        <v>317</v>
      </c>
      <c r="H290">
        <v>129</v>
      </c>
      <c r="I290">
        <v>53438</v>
      </c>
      <c r="J290">
        <v>52687</v>
      </c>
      <c r="K290">
        <v>223</v>
      </c>
      <c r="L290" t="s">
        <v>77</v>
      </c>
      <c r="M290" t="s">
        <v>19</v>
      </c>
      <c r="N290" s="21">
        <v>9.9255211647142488E-2</v>
      </c>
    </row>
    <row r="291" spans="1:14" x14ac:dyDescent="0.3">
      <c r="A291" t="s">
        <v>395</v>
      </c>
      <c r="B291" t="s">
        <v>14</v>
      </c>
      <c r="C291" s="11">
        <v>45546</v>
      </c>
      <c r="D291" t="s">
        <v>49</v>
      </c>
      <c r="E291" t="s">
        <v>50</v>
      </c>
      <c r="F291">
        <v>4858</v>
      </c>
      <c r="G291">
        <v>317</v>
      </c>
      <c r="H291">
        <v>129</v>
      </c>
      <c r="I291">
        <v>53438</v>
      </c>
      <c r="J291">
        <v>52687</v>
      </c>
      <c r="K291">
        <v>223</v>
      </c>
      <c r="L291" t="s">
        <v>44</v>
      </c>
      <c r="M291" t="s">
        <v>19</v>
      </c>
      <c r="N291" s="21">
        <v>9.9255211647142488E-2</v>
      </c>
    </row>
    <row r="292" spans="1:14" x14ac:dyDescent="0.3">
      <c r="A292" t="s">
        <v>397</v>
      </c>
      <c r="B292" t="s">
        <v>27</v>
      </c>
      <c r="C292" s="11">
        <v>45567</v>
      </c>
      <c r="D292" t="s">
        <v>33</v>
      </c>
      <c r="E292" t="s">
        <v>34</v>
      </c>
      <c r="F292">
        <v>4350</v>
      </c>
      <c r="G292">
        <v>771</v>
      </c>
      <c r="H292">
        <v>7</v>
      </c>
      <c r="I292">
        <v>60900</v>
      </c>
      <c r="J292">
        <v>60592</v>
      </c>
      <c r="K292">
        <v>195</v>
      </c>
      <c r="L292" t="s">
        <v>77</v>
      </c>
      <c r="M292" t="s">
        <v>25</v>
      </c>
      <c r="N292" s="21">
        <v>8.4203612479474554E-2</v>
      </c>
    </row>
    <row r="293" spans="1:14" x14ac:dyDescent="0.3">
      <c r="A293" t="s">
        <v>397</v>
      </c>
      <c r="B293" t="s">
        <v>27</v>
      </c>
      <c r="C293" s="11">
        <v>45567</v>
      </c>
      <c r="D293" t="s">
        <v>33</v>
      </c>
      <c r="E293" t="s">
        <v>34</v>
      </c>
      <c r="F293">
        <v>4350</v>
      </c>
      <c r="G293">
        <v>771</v>
      </c>
      <c r="H293">
        <v>7</v>
      </c>
      <c r="I293">
        <v>60900</v>
      </c>
      <c r="J293">
        <v>60592</v>
      </c>
      <c r="K293">
        <v>195</v>
      </c>
      <c r="L293" t="s">
        <v>58</v>
      </c>
      <c r="M293" t="s">
        <v>25</v>
      </c>
      <c r="N293" s="21">
        <v>8.4203612479474554E-2</v>
      </c>
    </row>
    <row r="294" spans="1:14" x14ac:dyDescent="0.3">
      <c r="A294" t="s">
        <v>398</v>
      </c>
      <c r="B294" t="s">
        <v>31</v>
      </c>
      <c r="C294" s="11">
        <v>45519</v>
      </c>
      <c r="D294" t="s">
        <v>42</v>
      </c>
      <c r="E294" t="s">
        <v>43</v>
      </c>
      <c r="F294">
        <v>914</v>
      </c>
      <c r="G294">
        <v>464</v>
      </c>
      <c r="H294">
        <v>246</v>
      </c>
      <c r="I294">
        <v>11882</v>
      </c>
      <c r="J294">
        <v>11500</v>
      </c>
      <c r="K294">
        <v>282</v>
      </c>
      <c r="L294" t="s">
        <v>24</v>
      </c>
      <c r="M294" t="s">
        <v>38</v>
      </c>
      <c r="N294" s="21">
        <v>0.13667732704931829</v>
      </c>
    </row>
    <row r="295" spans="1:14" x14ac:dyDescent="0.3">
      <c r="A295" t="s">
        <v>398</v>
      </c>
      <c r="B295" t="s">
        <v>31</v>
      </c>
      <c r="C295" s="11">
        <v>45519</v>
      </c>
      <c r="D295" t="s">
        <v>42</v>
      </c>
      <c r="E295" t="s">
        <v>43</v>
      </c>
      <c r="F295">
        <v>914</v>
      </c>
      <c r="G295">
        <v>464</v>
      </c>
      <c r="H295">
        <v>246</v>
      </c>
      <c r="I295">
        <v>11882</v>
      </c>
      <c r="J295">
        <v>11500</v>
      </c>
      <c r="K295">
        <v>282</v>
      </c>
      <c r="L295" t="s">
        <v>44</v>
      </c>
      <c r="M295" t="s">
        <v>38</v>
      </c>
      <c r="N295" s="21">
        <v>0.13667732704931829</v>
      </c>
    </row>
    <row r="296" spans="1:14" x14ac:dyDescent="0.3">
      <c r="A296" t="s">
        <v>400</v>
      </c>
      <c r="B296" t="s">
        <v>31</v>
      </c>
      <c r="C296" s="11">
        <v>45645</v>
      </c>
      <c r="D296" t="s">
        <v>22</v>
      </c>
      <c r="E296" t="s">
        <v>23</v>
      </c>
      <c r="F296">
        <v>1813</v>
      </c>
      <c r="G296">
        <v>623</v>
      </c>
      <c r="H296">
        <v>72</v>
      </c>
      <c r="I296">
        <v>19943</v>
      </c>
      <c r="J296">
        <v>18959</v>
      </c>
      <c r="K296">
        <v>85</v>
      </c>
      <c r="L296" t="s">
        <v>44</v>
      </c>
      <c r="M296" t="s">
        <v>38</v>
      </c>
      <c r="N296" s="21">
        <v>0.12575841147269717</v>
      </c>
    </row>
    <row r="297" spans="1:14" x14ac:dyDescent="0.3">
      <c r="A297" t="s">
        <v>400</v>
      </c>
      <c r="B297" t="s">
        <v>31</v>
      </c>
      <c r="C297" s="11">
        <v>45645</v>
      </c>
      <c r="D297" t="s">
        <v>22</v>
      </c>
      <c r="E297" t="s">
        <v>23</v>
      </c>
      <c r="F297">
        <v>1813</v>
      </c>
      <c r="G297">
        <v>623</v>
      </c>
      <c r="H297">
        <v>72</v>
      </c>
      <c r="I297">
        <v>19943</v>
      </c>
      <c r="J297">
        <v>18959</v>
      </c>
      <c r="K297">
        <v>85</v>
      </c>
      <c r="L297" t="s">
        <v>24</v>
      </c>
      <c r="M297" t="s">
        <v>38</v>
      </c>
      <c r="N297" s="21">
        <v>0.12575841147269717</v>
      </c>
    </row>
    <row r="298" spans="1:14" x14ac:dyDescent="0.3">
      <c r="A298" t="s">
        <v>402</v>
      </c>
      <c r="B298" t="s">
        <v>14</v>
      </c>
      <c r="C298" s="11">
        <v>45587</v>
      </c>
      <c r="D298" t="s">
        <v>16</v>
      </c>
      <c r="E298" t="s">
        <v>17</v>
      </c>
      <c r="F298">
        <v>4782</v>
      </c>
      <c r="G298">
        <v>721</v>
      </c>
      <c r="H298">
        <v>82</v>
      </c>
      <c r="I298">
        <v>86076</v>
      </c>
      <c r="J298">
        <v>85339</v>
      </c>
      <c r="K298">
        <v>19</v>
      </c>
      <c r="L298" t="s">
        <v>77</v>
      </c>
      <c r="M298" t="s">
        <v>25</v>
      </c>
      <c r="N298" s="21">
        <v>6.4884520656164318E-2</v>
      </c>
    </row>
    <row r="299" spans="1:14" x14ac:dyDescent="0.3">
      <c r="A299" t="s">
        <v>403</v>
      </c>
      <c r="B299" t="s">
        <v>14</v>
      </c>
      <c r="C299" s="11">
        <v>45549</v>
      </c>
      <c r="D299" t="s">
        <v>49</v>
      </c>
      <c r="E299" t="s">
        <v>50</v>
      </c>
      <c r="F299">
        <v>1048</v>
      </c>
      <c r="G299">
        <v>374</v>
      </c>
      <c r="H299">
        <v>450</v>
      </c>
      <c r="I299">
        <v>9432</v>
      </c>
      <c r="J299">
        <v>8882</v>
      </c>
      <c r="K299">
        <v>158</v>
      </c>
      <c r="L299" t="s">
        <v>44</v>
      </c>
      <c r="M299" t="s">
        <v>25</v>
      </c>
      <c r="N299" s="21">
        <v>0.19847328244274809</v>
      </c>
    </row>
    <row r="300" spans="1:14" x14ac:dyDescent="0.3">
      <c r="A300" t="s">
        <v>403</v>
      </c>
      <c r="B300" t="s">
        <v>14</v>
      </c>
      <c r="C300" s="11">
        <v>45549</v>
      </c>
      <c r="D300" t="s">
        <v>49</v>
      </c>
      <c r="E300" t="s">
        <v>50</v>
      </c>
      <c r="F300">
        <v>1048</v>
      </c>
      <c r="G300">
        <v>374</v>
      </c>
      <c r="H300">
        <v>450</v>
      </c>
      <c r="I300">
        <v>9432</v>
      </c>
      <c r="J300">
        <v>8882</v>
      </c>
      <c r="K300">
        <v>158</v>
      </c>
      <c r="L300" t="s">
        <v>18</v>
      </c>
      <c r="M300" t="s">
        <v>25</v>
      </c>
      <c r="N300" s="21">
        <v>0.19847328244274809</v>
      </c>
    </row>
    <row r="301" spans="1:14" x14ac:dyDescent="0.3">
      <c r="A301" t="s">
        <v>405</v>
      </c>
      <c r="B301" t="s">
        <v>27</v>
      </c>
      <c r="C301" s="11">
        <v>45626</v>
      </c>
      <c r="D301" t="s">
        <v>42</v>
      </c>
      <c r="E301" t="s">
        <v>43</v>
      </c>
      <c r="F301">
        <v>2509</v>
      </c>
      <c r="G301">
        <v>324</v>
      </c>
      <c r="H301">
        <v>171</v>
      </c>
      <c r="I301">
        <v>35126</v>
      </c>
      <c r="J301">
        <v>34685</v>
      </c>
      <c r="K301">
        <v>277</v>
      </c>
      <c r="L301" t="s">
        <v>77</v>
      </c>
      <c r="M301" t="s">
        <v>25</v>
      </c>
      <c r="N301" s="21">
        <v>8.5520696919660646E-2</v>
      </c>
    </row>
    <row r="302" spans="1:14" x14ac:dyDescent="0.3">
      <c r="A302" t="s">
        <v>406</v>
      </c>
      <c r="B302" t="s">
        <v>40</v>
      </c>
      <c r="C302" s="11">
        <v>45754</v>
      </c>
      <c r="D302" t="s">
        <v>16</v>
      </c>
      <c r="E302" t="s">
        <v>17</v>
      </c>
      <c r="F302">
        <v>3718</v>
      </c>
      <c r="G302">
        <v>385</v>
      </c>
      <c r="H302">
        <v>310</v>
      </c>
      <c r="I302">
        <v>70642</v>
      </c>
      <c r="J302">
        <v>69749</v>
      </c>
      <c r="K302">
        <v>233</v>
      </c>
      <c r="L302" t="s">
        <v>44</v>
      </c>
      <c r="M302" t="s">
        <v>19</v>
      </c>
      <c r="N302" s="21">
        <v>6.246991874522239E-2</v>
      </c>
    </row>
    <row r="303" spans="1:14" x14ac:dyDescent="0.3">
      <c r="A303" t="s">
        <v>408</v>
      </c>
      <c r="B303" t="s">
        <v>14</v>
      </c>
      <c r="C303" s="11">
        <v>45672</v>
      </c>
      <c r="D303" t="s">
        <v>16</v>
      </c>
      <c r="E303" t="s">
        <v>17</v>
      </c>
      <c r="F303">
        <v>802</v>
      </c>
      <c r="G303">
        <v>262</v>
      </c>
      <c r="H303">
        <v>244</v>
      </c>
      <c r="I303">
        <v>14436</v>
      </c>
      <c r="J303">
        <v>14280</v>
      </c>
      <c r="K303">
        <v>49</v>
      </c>
      <c r="L303" t="s">
        <v>18</v>
      </c>
      <c r="M303" t="s">
        <v>55</v>
      </c>
      <c r="N303" s="21">
        <v>9.0606816292601824E-2</v>
      </c>
    </row>
    <row r="304" spans="1:14" x14ac:dyDescent="0.3">
      <c r="A304" t="s">
        <v>408</v>
      </c>
      <c r="B304" t="s">
        <v>14</v>
      </c>
      <c r="C304" s="11">
        <v>45672</v>
      </c>
      <c r="D304" t="s">
        <v>16</v>
      </c>
      <c r="E304" t="s">
        <v>17</v>
      </c>
      <c r="F304">
        <v>802</v>
      </c>
      <c r="G304">
        <v>262</v>
      </c>
      <c r="H304">
        <v>244</v>
      </c>
      <c r="I304">
        <v>14436</v>
      </c>
      <c r="J304">
        <v>14280</v>
      </c>
      <c r="K304">
        <v>49</v>
      </c>
      <c r="L304" t="s">
        <v>77</v>
      </c>
      <c r="M304" t="s">
        <v>55</v>
      </c>
      <c r="N304" s="21">
        <v>9.0606816292601824E-2</v>
      </c>
    </row>
    <row r="305" spans="1:14" x14ac:dyDescent="0.3">
      <c r="A305" t="s">
        <v>410</v>
      </c>
      <c r="B305" t="s">
        <v>40</v>
      </c>
      <c r="C305" s="11">
        <v>45445</v>
      </c>
      <c r="D305" t="s">
        <v>49</v>
      </c>
      <c r="E305" t="s">
        <v>50</v>
      </c>
      <c r="F305">
        <v>1871</v>
      </c>
      <c r="G305">
        <v>252</v>
      </c>
      <c r="H305">
        <v>335</v>
      </c>
      <c r="I305">
        <v>29936</v>
      </c>
      <c r="J305">
        <v>29576</v>
      </c>
      <c r="K305">
        <v>288</v>
      </c>
      <c r="L305" t="s">
        <v>44</v>
      </c>
      <c r="M305" t="s">
        <v>25</v>
      </c>
      <c r="N305" s="21">
        <v>8.2108498129342594E-2</v>
      </c>
    </row>
    <row r="306" spans="1:14" x14ac:dyDescent="0.3">
      <c r="A306" t="s">
        <v>412</v>
      </c>
      <c r="B306" t="s">
        <v>31</v>
      </c>
      <c r="C306" s="11">
        <v>45617</v>
      </c>
      <c r="D306" t="s">
        <v>42</v>
      </c>
      <c r="E306" t="s">
        <v>43</v>
      </c>
      <c r="F306">
        <v>3773</v>
      </c>
      <c r="G306">
        <v>299</v>
      </c>
      <c r="H306">
        <v>38</v>
      </c>
      <c r="I306">
        <v>71687</v>
      </c>
      <c r="J306">
        <v>71447</v>
      </c>
      <c r="K306">
        <v>286</v>
      </c>
      <c r="L306" t="s">
        <v>44</v>
      </c>
      <c r="M306" t="s">
        <v>55</v>
      </c>
      <c r="N306" s="21">
        <v>5.7332570758993957E-2</v>
      </c>
    </row>
    <row r="307" spans="1:14" x14ac:dyDescent="0.3">
      <c r="A307" t="s">
        <v>414</v>
      </c>
      <c r="B307" t="s">
        <v>31</v>
      </c>
      <c r="C307" s="11">
        <v>45658</v>
      </c>
      <c r="D307" t="s">
        <v>42</v>
      </c>
      <c r="E307" t="s">
        <v>43</v>
      </c>
      <c r="F307">
        <v>2234</v>
      </c>
      <c r="G307">
        <v>653</v>
      </c>
      <c r="H307">
        <v>432</v>
      </c>
      <c r="I307">
        <v>11170</v>
      </c>
      <c r="J307">
        <v>10569</v>
      </c>
      <c r="K307">
        <v>198</v>
      </c>
      <c r="L307" t="s">
        <v>77</v>
      </c>
      <c r="M307" t="s">
        <v>55</v>
      </c>
      <c r="N307" s="21">
        <v>0.29713518352730528</v>
      </c>
    </row>
    <row r="308" spans="1:14" x14ac:dyDescent="0.3">
      <c r="A308" t="s">
        <v>414</v>
      </c>
      <c r="B308" t="s">
        <v>31</v>
      </c>
      <c r="C308" s="11">
        <v>45658</v>
      </c>
      <c r="D308" t="s">
        <v>42</v>
      </c>
      <c r="E308" t="s">
        <v>43</v>
      </c>
      <c r="F308">
        <v>2234</v>
      </c>
      <c r="G308">
        <v>653</v>
      </c>
      <c r="H308">
        <v>432</v>
      </c>
      <c r="I308">
        <v>11170</v>
      </c>
      <c r="J308">
        <v>10569</v>
      </c>
      <c r="K308">
        <v>198</v>
      </c>
      <c r="L308" t="s">
        <v>58</v>
      </c>
      <c r="M308" t="s">
        <v>55</v>
      </c>
      <c r="N308" s="21">
        <v>0.29713518352730528</v>
      </c>
    </row>
    <row r="309" spans="1:14" x14ac:dyDescent="0.3">
      <c r="A309" t="s">
        <v>415</v>
      </c>
      <c r="B309" t="s">
        <v>14</v>
      </c>
      <c r="C309" s="11">
        <v>45771</v>
      </c>
      <c r="D309" t="s">
        <v>69</v>
      </c>
      <c r="E309" t="s">
        <v>70</v>
      </c>
      <c r="F309">
        <v>3820</v>
      </c>
      <c r="G309">
        <v>697</v>
      </c>
      <c r="H309">
        <v>268</v>
      </c>
      <c r="I309">
        <v>45840</v>
      </c>
      <c r="J309">
        <v>45631</v>
      </c>
      <c r="K309">
        <v>171</v>
      </c>
      <c r="L309" t="s">
        <v>58</v>
      </c>
      <c r="M309" t="s">
        <v>19</v>
      </c>
      <c r="N309" s="21">
        <v>0.1043848167539267</v>
      </c>
    </row>
    <row r="310" spans="1:14" x14ac:dyDescent="0.3">
      <c r="A310" t="s">
        <v>415</v>
      </c>
      <c r="B310" t="s">
        <v>14</v>
      </c>
      <c r="C310" s="11">
        <v>45771</v>
      </c>
      <c r="D310" t="s">
        <v>69</v>
      </c>
      <c r="E310" t="s">
        <v>70</v>
      </c>
      <c r="F310">
        <v>3820</v>
      </c>
      <c r="G310">
        <v>697</v>
      </c>
      <c r="H310">
        <v>268</v>
      </c>
      <c r="I310">
        <v>45840</v>
      </c>
      <c r="J310">
        <v>45631</v>
      </c>
      <c r="K310">
        <v>171</v>
      </c>
      <c r="L310" t="s">
        <v>77</v>
      </c>
      <c r="M310" t="s">
        <v>19</v>
      </c>
      <c r="N310" s="21">
        <v>0.1043848167539267</v>
      </c>
    </row>
    <row r="311" spans="1:14" x14ac:dyDescent="0.3">
      <c r="A311" t="s">
        <v>416</v>
      </c>
      <c r="B311" t="s">
        <v>14</v>
      </c>
      <c r="C311" s="11">
        <v>45467</v>
      </c>
      <c r="D311" t="s">
        <v>22</v>
      </c>
      <c r="E311" t="s">
        <v>23</v>
      </c>
      <c r="F311">
        <v>941</v>
      </c>
      <c r="G311">
        <v>121</v>
      </c>
      <c r="H311">
        <v>458</v>
      </c>
      <c r="I311">
        <v>14115</v>
      </c>
      <c r="J311">
        <v>13838</v>
      </c>
      <c r="K311">
        <v>87</v>
      </c>
      <c r="L311" t="s">
        <v>24</v>
      </c>
      <c r="M311" t="s">
        <v>25</v>
      </c>
      <c r="N311" s="21">
        <v>0.10768685795253277</v>
      </c>
    </row>
    <row r="312" spans="1:14" x14ac:dyDescent="0.3">
      <c r="A312" t="s">
        <v>416</v>
      </c>
      <c r="B312" t="s">
        <v>14</v>
      </c>
      <c r="C312" s="11">
        <v>45467</v>
      </c>
      <c r="D312" t="s">
        <v>22</v>
      </c>
      <c r="E312" t="s">
        <v>23</v>
      </c>
      <c r="F312">
        <v>941</v>
      </c>
      <c r="G312">
        <v>121</v>
      </c>
      <c r="H312">
        <v>458</v>
      </c>
      <c r="I312">
        <v>14115</v>
      </c>
      <c r="J312">
        <v>13838</v>
      </c>
      <c r="K312">
        <v>87</v>
      </c>
      <c r="L312" t="s">
        <v>18</v>
      </c>
      <c r="M312" t="s">
        <v>25</v>
      </c>
      <c r="N312" s="21">
        <v>0.10768685795253277</v>
      </c>
    </row>
    <row r="313" spans="1:14" x14ac:dyDescent="0.3">
      <c r="A313" t="s">
        <v>417</v>
      </c>
      <c r="B313" t="s">
        <v>14</v>
      </c>
      <c r="C313" s="11">
        <v>45655</v>
      </c>
      <c r="D313" t="s">
        <v>42</v>
      </c>
      <c r="E313" t="s">
        <v>43</v>
      </c>
      <c r="F313">
        <v>4274</v>
      </c>
      <c r="G313">
        <v>340</v>
      </c>
      <c r="H313">
        <v>281</v>
      </c>
      <c r="I313">
        <v>34192</v>
      </c>
      <c r="J313">
        <v>33446</v>
      </c>
      <c r="K313">
        <v>129</v>
      </c>
      <c r="L313" t="s">
        <v>58</v>
      </c>
      <c r="M313" t="s">
        <v>38</v>
      </c>
      <c r="N313" s="21">
        <v>0.14316214319138981</v>
      </c>
    </row>
    <row r="314" spans="1:14" x14ac:dyDescent="0.3">
      <c r="A314" t="s">
        <v>417</v>
      </c>
      <c r="B314" t="s">
        <v>14</v>
      </c>
      <c r="C314" s="11">
        <v>45655</v>
      </c>
      <c r="D314" t="s">
        <v>42</v>
      </c>
      <c r="E314" t="s">
        <v>43</v>
      </c>
      <c r="F314">
        <v>4274</v>
      </c>
      <c r="G314">
        <v>340</v>
      </c>
      <c r="H314">
        <v>281</v>
      </c>
      <c r="I314">
        <v>34192</v>
      </c>
      <c r="J314">
        <v>33446</v>
      </c>
      <c r="K314">
        <v>129</v>
      </c>
      <c r="L314" t="s">
        <v>77</v>
      </c>
      <c r="M314" t="s">
        <v>38</v>
      </c>
      <c r="N314" s="21">
        <v>0.14316214319138981</v>
      </c>
    </row>
    <row r="315" spans="1:14" x14ac:dyDescent="0.3">
      <c r="A315" t="s">
        <v>419</v>
      </c>
      <c r="B315" t="s">
        <v>27</v>
      </c>
      <c r="C315" s="11">
        <v>45467</v>
      </c>
      <c r="D315" t="s">
        <v>69</v>
      </c>
      <c r="E315" t="s">
        <v>70</v>
      </c>
      <c r="F315">
        <v>2949</v>
      </c>
      <c r="G315">
        <v>476</v>
      </c>
      <c r="H315">
        <v>403</v>
      </c>
      <c r="I315">
        <v>44235</v>
      </c>
      <c r="J315">
        <v>43705</v>
      </c>
      <c r="K315">
        <v>135</v>
      </c>
      <c r="L315" t="s">
        <v>44</v>
      </c>
      <c r="M315" t="s">
        <v>19</v>
      </c>
      <c r="N315" s="21">
        <v>8.6537809426924378E-2</v>
      </c>
    </row>
    <row r="316" spans="1:14" x14ac:dyDescent="0.3">
      <c r="A316" t="s">
        <v>419</v>
      </c>
      <c r="B316" t="s">
        <v>27</v>
      </c>
      <c r="C316" s="11">
        <v>45467</v>
      </c>
      <c r="D316" t="s">
        <v>69</v>
      </c>
      <c r="E316" t="s">
        <v>70</v>
      </c>
      <c r="F316">
        <v>2949</v>
      </c>
      <c r="G316">
        <v>476</v>
      </c>
      <c r="H316">
        <v>403</v>
      </c>
      <c r="I316">
        <v>44235</v>
      </c>
      <c r="J316">
        <v>43705</v>
      </c>
      <c r="K316">
        <v>135</v>
      </c>
      <c r="L316" t="s">
        <v>77</v>
      </c>
      <c r="M316" t="s">
        <v>19</v>
      </c>
      <c r="N316" s="21">
        <v>8.6537809426924378E-2</v>
      </c>
    </row>
    <row r="317" spans="1:14" x14ac:dyDescent="0.3">
      <c r="A317" t="s">
        <v>420</v>
      </c>
      <c r="B317" t="s">
        <v>14</v>
      </c>
      <c r="C317" s="11">
        <v>45735</v>
      </c>
      <c r="D317" t="s">
        <v>69</v>
      </c>
      <c r="E317" t="s">
        <v>70</v>
      </c>
      <c r="F317">
        <v>3160</v>
      </c>
      <c r="G317">
        <v>204</v>
      </c>
      <c r="H317">
        <v>297</v>
      </c>
      <c r="I317">
        <v>44240</v>
      </c>
      <c r="J317">
        <v>43666</v>
      </c>
      <c r="K317">
        <v>49</v>
      </c>
      <c r="L317" t="s">
        <v>58</v>
      </c>
      <c r="M317" t="s">
        <v>19</v>
      </c>
      <c r="N317" s="21">
        <v>8.2753164556962022E-2</v>
      </c>
    </row>
    <row r="318" spans="1:14" x14ac:dyDescent="0.3">
      <c r="A318" t="s">
        <v>420</v>
      </c>
      <c r="B318" t="s">
        <v>14</v>
      </c>
      <c r="C318" s="11">
        <v>45735</v>
      </c>
      <c r="D318" t="s">
        <v>69</v>
      </c>
      <c r="E318" t="s">
        <v>70</v>
      </c>
      <c r="F318">
        <v>3160</v>
      </c>
      <c r="G318">
        <v>204</v>
      </c>
      <c r="H318">
        <v>297</v>
      </c>
      <c r="I318">
        <v>44240</v>
      </c>
      <c r="J318">
        <v>43666</v>
      </c>
      <c r="K318">
        <v>49</v>
      </c>
      <c r="L318" t="s">
        <v>44</v>
      </c>
      <c r="M318" t="s">
        <v>19</v>
      </c>
      <c r="N318" s="21">
        <v>8.2753164556962022E-2</v>
      </c>
    </row>
    <row r="319" spans="1:14" x14ac:dyDescent="0.3">
      <c r="A319" t="s">
        <v>422</v>
      </c>
      <c r="B319" t="s">
        <v>27</v>
      </c>
      <c r="C319" s="11">
        <v>45707</v>
      </c>
      <c r="D319" t="s">
        <v>49</v>
      </c>
      <c r="E319" t="s">
        <v>50</v>
      </c>
      <c r="F319">
        <v>257</v>
      </c>
      <c r="G319">
        <v>966</v>
      </c>
      <c r="H319">
        <v>398</v>
      </c>
      <c r="I319">
        <v>3341</v>
      </c>
      <c r="J319">
        <v>2753</v>
      </c>
      <c r="K319">
        <v>287</v>
      </c>
      <c r="L319" t="s">
        <v>44</v>
      </c>
      <c r="M319" t="s">
        <v>19</v>
      </c>
      <c r="N319" s="21">
        <v>0.48518407662376534</v>
      </c>
    </row>
    <row r="320" spans="1:14" x14ac:dyDescent="0.3">
      <c r="A320" t="s">
        <v>422</v>
      </c>
      <c r="B320" t="s">
        <v>27</v>
      </c>
      <c r="C320" s="11">
        <v>45707</v>
      </c>
      <c r="D320" t="s">
        <v>49</v>
      </c>
      <c r="E320" t="s">
        <v>50</v>
      </c>
      <c r="F320">
        <v>257</v>
      </c>
      <c r="G320">
        <v>966</v>
      </c>
      <c r="H320">
        <v>398</v>
      </c>
      <c r="I320">
        <v>3341</v>
      </c>
      <c r="J320">
        <v>2753</v>
      </c>
      <c r="K320">
        <v>287</v>
      </c>
      <c r="L320" t="s">
        <v>18</v>
      </c>
      <c r="M320" t="s">
        <v>19</v>
      </c>
      <c r="N320" s="21">
        <v>0.48518407662376534</v>
      </c>
    </row>
    <row r="321" spans="1:14" x14ac:dyDescent="0.3">
      <c r="A321" t="s">
        <v>423</v>
      </c>
      <c r="B321" t="s">
        <v>14</v>
      </c>
      <c r="C321" s="11">
        <v>45491</v>
      </c>
      <c r="D321" t="s">
        <v>42</v>
      </c>
      <c r="E321" t="s">
        <v>43</v>
      </c>
      <c r="F321">
        <v>2120</v>
      </c>
      <c r="G321">
        <v>38</v>
      </c>
      <c r="H321">
        <v>212</v>
      </c>
      <c r="I321">
        <v>12720</v>
      </c>
      <c r="J321">
        <v>12564</v>
      </c>
      <c r="K321">
        <v>21</v>
      </c>
      <c r="L321" t="s">
        <v>44</v>
      </c>
      <c r="M321" t="s">
        <v>19</v>
      </c>
      <c r="N321" s="21">
        <v>0.18632075471698112</v>
      </c>
    </row>
    <row r="322" spans="1:14" x14ac:dyDescent="0.3">
      <c r="A322" t="s">
        <v>423</v>
      </c>
      <c r="B322" t="s">
        <v>14</v>
      </c>
      <c r="C322" s="11">
        <v>45491</v>
      </c>
      <c r="D322" t="s">
        <v>42</v>
      </c>
      <c r="E322" t="s">
        <v>43</v>
      </c>
      <c r="F322">
        <v>2120</v>
      </c>
      <c r="G322">
        <v>38</v>
      </c>
      <c r="H322">
        <v>212</v>
      </c>
      <c r="I322">
        <v>12720</v>
      </c>
      <c r="J322">
        <v>12564</v>
      </c>
      <c r="K322">
        <v>21</v>
      </c>
      <c r="L322" t="s">
        <v>18</v>
      </c>
      <c r="M322" t="s">
        <v>19</v>
      </c>
      <c r="N322" s="21">
        <v>0.18632075471698112</v>
      </c>
    </row>
    <row r="323" spans="1:14" x14ac:dyDescent="0.3">
      <c r="A323" t="s">
        <v>425</v>
      </c>
      <c r="B323" t="s">
        <v>27</v>
      </c>
      <c r="C323" s="11">
        <v>45719</v>
      </c>
      <c r="D323" t="s">
        <v>69</v>
      </c>
      <c r="E323" t="s">
        <v>70</v>
      </c>
      <c r="F323">
        <v>3874</v>
      </c>
      <c r="G323">
        <v>884</v>
      </c>
      <c r="H323">
        <v>19</v>
      </c>
      <c r="I323">
        <v>38740</v>
      </c>
      <c r="J323">
        <v>38552</v>
      </c>
      <c r="K323">
        <v>219</v>
      </c>
      <c r="L323" t="s">
        <v>58</v>
      </c>
      <c r="M323" t="s">
        <v>55</v>
      </c>
      <c r="N323" s="21">
        <v>0.123309241094476</v>
      </c>
    </row>
    <row r="324" spans="1:14" x14ac:dyDescent="0.3">
      <c r="A324" t="s">
        <v>426</v>
      </c>
      <c r="B324" t="s">
        <v>40</v>
      </c>
      <c r="C324" s="11">
        <v>45778</v>
      </c>
      <c r="D324" t="s">
        <v>42</v>
      </c>
      <c r="E324" t="s">
        <v>43</v>
      </c>
      <c r="F324">
        <v>2696</v>
      </c>
      <c r="G324">
        <v>628</v>
      </c>
      <c r="H324">
        <v>443</v>
      </c>
      <c r="I324">
        <v>45832</v>
      </c>
      <c r="J324">
        <v>45632</v>
      </c>
      <c r="K324">
        <v>248</v>
      </c>
      <c r="L324" t="s">
        <v>18</v>
      </c>
      <c r="M324" t="s">
        <v>38</v>
      </c>
      <c r="N324" s="21">
        <v>8.21914819340199E-2</v>
      </c>
    </row>
    <row r="325" spans="1:14" x14ac:dyDescent="0.3">
      <c r="A325" t="s">
        <v>428</v>
      </c>
      <c r="B325" t="s">
        <v>31</v>
      </c>
      <c r="C325" s="11">
        <v>45649</v>
      </c>
      <c r="D325" t="s">
        <v>49</v>
      </c>
      <c r="E325" t="s">
        <v>50</v>
      </c>
      <c r="F325">
        <v>521</v>
      </c>
      <c r="G325">
        <v>746</v>
      </c>
      <c r="H325">
        <v>315</v>
      </c>
      <c r="I325">
        <v>4168</v>
      </c>
      <c r="J325">
        <v>3399</v>
      </c>
      <c r="K325">
        <v>282</v>
      </c>
      <c r="L325" t="s">
        <v>18</v>
      </c>
      <c r="M325" t="s">
        <v>19</v>
      </c>
      <c r="N325" s="21">
        <v>0.37955854126679461</v>
      </c>
    </row>
    <row r="326" spans="1:14" x14ac:dyDescent="0.3">
      <c r="A326" t="s">
        <v>429</v>
      </c>
      <c r="B326" t="s">
        <v>40</v>
      </c>
      <c r="C326" s="11">
        <v>45783</v>
      </c>
      <c r="D326" t="s">
        <v>49</v>
      </c>
      <c r="E326" t="s">
        <v>50</v>
      </c>
      <c r="F326">
        <v>4872</v>
      </c>
      <c r="G326">
        <v>925</v>
      </c>
      <c r="H326">
        <v>176</v>
      </c>
      <c r="I326">
        <v>82824</v>
      </c>
      <c r="J326">
        <v>82543</v>
      </c>
      <c r="K326">
        <v>89</v>
      </c>
      <c r="L326" t="s">
        <v>18</v>
      </c>
      <c r="M326" t="s">
        <v>19</v>
      </c>
      <c r="N326" s="21">
        <v>7.2116777745580993E-2</v>
      </c>
    </row>
    <row r="327" spans="1:14" x14ac:dyDescent="0.3">
      <c r="A327" t="s">
        <v>429</v>
      </c>
      <c r="B327" t="s">
        <v>40</v>
      </c>
      <c r="C327" s="11">
        <v>45783</v>
      </c>
      <c r="D327" t="s">
        <v>49</v>
      </c>
      <c r="E327" t="s">
        <v>50</v>
      </c>
      <c r="F327">
        <v>4872</v>
      </c>
      <c r="G327">
        <v>925</v>
      </c>
      <c r="H327">
        <v>176</v>
      </c>
      <c r="I327">
        <v>82824</v>
      </c>
      <c r="J327">
        <v>82543</v>
      </c>
      <c r="K327">
        <v>89</v>
      </c>
      <c r="L327" t="s">
        <v>44</v>
      </c>
      <c r="M327" t="s">
        <v>19</v>
      </c>
      <c r="N327" s="21">
        <v>7.2116777745580993E-2</v>
      </c>
    </row>
    <row r="328" spans="1:14" x14ac:dyDescent="0.3">
      <c r="A328" t="s">
        <v>431</v>
      </c>
      <c r="B328" t="s">
        <v>27</v>
      </c>
      <c r="C328" s="11">
        <v>45502</v>
      </c>
      <c r="D328" t="s">
        <v>33</v>
      </c>
      <c r="E328" t="s">
        <v>34</v>
      </c>
      <c r="F328">
        <v>1509</v>
      </c>
      <c r="G328">
        <v>88</v>
      </c>
      <c r="H328">
        <v>163</v>
      </c>
      <c r="I328">
        <v>30180</v>
      </c>
      <c r="J328">
        <v>29689</v>
      </c>
      <c r="K328">
        <v>119</v>
      </c>
      <c r="L328" t="s">
        <v>44</v>
      </c>
      <c r="M328" t="s">
        <v>19</v>
      </c>
      <c r="N328" s="21">
        <v>5.8316766070245198E-2</v>
      </c>
    </row>
    <row r="329" spans="1:14" x14ac:dyDescent="0.3">
      <c r="A329" t="s">
        <v>432</v>
      </c>
      <c r="B329" t="s">
        <v>40</v>
      </c>
      <c r="C329" s="11">
        <v>45629</v>
      </c>
      <c r="D329" t="s">
        <v>49</v>
      </c>
      <c r="E329" t="s">
        <v>50</v>
      </c>
      <c r="F329">
        <v>4606</v>
      </c>
      <c r="G329">
        <v>931</v>
      </c>
      <c r="H329">
        <v>230</v>
      </c>
      <c r="I329">
        <v>92120</v>
      </c>
      <c r="J329">
        <v>91440</v>
      </c>
      <c r="K329">
        <v>56</v>
      </c>
      <c r="L329" t="s">
        <v>77</v>
      </c>
      <c r="M329" t="s">
        <v>38</v>
      </c>
      <c r="N329" s="21">
        <v>6.2603126356925748E-2</v>
      </c>
    </row>
    <row r="330" spans="1:14" x14ac:dyDescent="0.3">
      <c r="A330" t="s">
        <v>432</v>
      </c>
      <c r="B330" t="s">
        <v>40</v>
      </c>
      <c r="C330" s="11">
        <v>45629</v>
      </c>
      <c r="D330" t="s">
        <v>49</v>
      </c>
      <c r="E330" t="s">
        <v>50</v>
      </c>
      <c r="F330">
        <v>4606</v>
      </c>
      <c r="G330">
        <v>931</v>
      </c>
      <c r="H330">
        <v>230</v>
      </c>
      <c r="I330">
        <v>92120</v>
      </c>
      <c r="J330">
        <v>91440</v>
      </c>
      <c r="K330">
        <v>56</v>
      </c>
      <c r="L330" t="s">
        <v>24</v>
      </c>
      <c r="M330" t="s">
        <v>38</v>
      </c>
      <c r="N330" s="21">
        <v>6.2603126356925748E-2</v>
      </c>
    </row>
    <row r="331" spans="1:14" x14ac:dyDescent="0.3">
      <c r="A331" t="s">
        <v>433</v>
      </c>
      <c r="B331" t="s">
        <v>40</v>
      </c>
      <c r="C331" s="11">
        <v>45454</v>
      </c>
      <c r="D331" t="s">
        <v>42</v>
      </c>
      <c r="E331" t="s">
        <v>43</v>
      </c>
      <c r="F331">
        <v>1869</v>
      </c>
      <c r="G331">
        <v>453</v>
      </c>
      <c r="H331">
        <v>490</v>
      </c>
      <c r="I331">
        <v>14952</v>
      </c>
      <c r="J331">
        <v>14309</v>
      </c>
      <c r="K331">
        <v>275</v>
      </c>
      <c r="L331" t="s">
        <v>77</v>
      </c>
      <c r="M331" t="s">
        <v>19</v>
      </c>
      <c r="N331" s="21">
        <v>0.18806848582129482</v>
      </c>
    </row>
    <row r="332" spans="1:14" x14ac:dyDescent="0.3">
      <c r="A332" t="s">
        <v>433</v>
      </c>
      <c r="B332" t="s">
        <v>40</v>
      </c>
      <c r="C332" s="11">
        <v>45454</v>
      </c>
      <c r="D332" t="s">
        <v>42</v>
      </c>
      <c r="E332" t="s">
        <v>43</v>
      </c>
      <c r="F332">
        <v>1869</v>
      </c>
      <c r="G332">
        <v>453</v>
      </c>
      <c r="H332">
        <v>490</v>
      </c>
      <c r="I332">
        <v>14952</v>
      </c>
      <c r="J332">
        <v>14309</v>
      </c>
      <c r="K332">
        <v>275</v>
      </c>
      <c r="L332" t="s">
        <v>58</v>
      </c>
      <c r="M332" t="s">
        <v>19</v>
      </c>
      <c r="N332" s="21">
        <v>0.18806848582129482</v>
      </c>
    </row>
    <row r="333" spans="1:14" x14ac:dyDescent="0.3">
      <c r="A333" t="s">
        <v>434</v>
      </c>
      <c r="B333" t="s">
        <v>14</v>
      </c>
      <c r="C333" s="11">
        <v>45685</v>
      </c>
      <c r="D333" t="s">
        <v>16</v>
      </c>
      <c r="E333" t="s">
        <v>17</v>
      </c>
      <c r="F333">
        <v>1188</v>
      </c>
      <c r="G333">
        <v>470</v>
      </c>
      <c r="H333">
        <v>174</v>
      </c>
      <c r="I333">
        <v>7128</v>
      </c>
      <c r="J333">
        <v>6145</v>
      </c>
      <c r="K333">
        <v>270</v>
      </c>
      <c r="L333" t="s">
        <v>58</v>
      </c>
      <c r="M333" t="s">
        <v>25</v>
      </c>
      <c r="N333" s="21">
        <v>0.25701459034792368</v>
      </c>
    </row>
    <row r="334" spans="1:14" x14ac:dyDescent="0.3">
      <c r="A334" t="s">
        <v>434</v>
      </c>
      <c r="B334" t="s">
        <v>14</v>
      </c>
      <c r="C334" s="11">
        <v>45685</v>
      </c>
      <c r="D334" t="s">
        <v>16</v>
      </c>
      <c r="E334" t="s">
        <v>17</v>
      </c>
      <c r="F334">
        <v>1188</v>
      </c>
      <c r="G334">
        <v>470</v>
      </c>
      <c r="H334">
        <v>174</v>
      </c>
      <c r="I334">
        <v>7128</v>
      </c>
      <c r="J334">
        <v>6145</v>
      </c>
      <c r="K334">
        <v>270</v>
      </c>
      <c r="L334" t="s">
        <v>24</v>
      </c>
      <c r="M334" t="s">
        <v>25</v>
      </c>
      <c r="N334" s="21">
        <v>0.25701459034792368</v>
      </c>
    </row>
    <row r="335" spans="1:14" x14ac:dyDescent="0.3">
      <c r="A335" t="s">
        <v>435</v>
      </c>
      <c r="B335" t="s">
        <v>31</v>
      </c>
      <c r="C335" s="11">
        <v>45445</v>
      </c>
      <c r="D335" t="s">
        <v>33</v>
      </c>
      <c r="E335" t="s">
        <v>34</v>
      </c>
      <c r="F335">
        <v>84</v>
      </c>
      <c r="G335">
        <v>897</v>
      </c>
      <c r="H335">
        <v>85</v>
      </c>
      <c r="I335">
        <v>588</v>
      </c>
      <c r="J335">
        <v>8</v>
      </c>
      <c r="K335">
        <v>12</v>
      </c>
      <c r="L335" t="s">
        <v>58</v>
      </c>
      <c r="M335" t="s">
        <v>25</v>
      </c>
      <c r="N335" s="21">
        <v>1.8129251700680271</v>
      </c>
    </row>
    <row r="336" spans="1:14" x14ac:dyDescent="0.3">
      <c r="A336" t="s">
        <v>436</v>
      </c>
      <c r="B336" t="s">
        <v>40</v>
      </c>
      <c r="C336" s="11">
        <v>45739</v>
      </c>
      <c r="D336" t="s">
        <v>69</v>
      </c>
      <c r="E336" t="s">
        <v>70</v>
      </c>
      <c r="F336">
        <v>4453</v>
      </c>
      <c r="G336">
        <v>111</v>
      </c>
      <c r="H336">
        <v>420</v>
      </c>
      <c r="I336">
        <v>31171</v>
      </c>
      <c r="J336">
        <v>30565</v>
      </c>
      <c r="K336">
        <v>23</v>
      </c>
      <c r="L336" t="s">
        <v>44</v>
      </c>
      <c r="M336" t="s">
        <v>55</v>
      </c>
      <c r="N336" s="21">
        <v>0.15989220750056141</v>
      </c>
    </row>
    <row r="337" spans="1:14" x14ac:dyDescent="0.3">
      <c r="A337" t="s">
        <v>436</v>
      </c>
      <c r="B337" t="s">
        <v>40</v>
      </c>
      <c r="C337" s="11">
        <v>45739</v>
      </c>
      <c r="D337" t="s">
        <v>69</v>
      </c>
      <c r="E337" t="s">
        <v>70</v>
      </c>
      <c r="F337">
        <v>4453</v>
      </c>
      <c r="G337">
        <v>111</v>
      </c>
      <c r="H337">
        <v>420</v>
      </c>
      <c r="I337">
        <v>31171</v>
      </c>
      <c r="J337">
        <v>30565</v>
      </c>
      <c r="K337">
        <v>23</v>
      </c>
      <c r="L337" t="s">
        <v>24</v>
      </c>
      <c r="M337" t="s">
        <v>55</v>
      </c>
      <c r="N337" s="21">
        <v>0.15989220750056141</v>
      </c>
    </row>
    <row r="338" spans="1:14" x14ac:dyDescent="0.3">
      <c r="A338" t="s">
        <v>437</v>
      </c>
      <c r="B338" t="s">
        <v>40</v>
      </c>
      <c r="C338" s="11">
        <v>45573</v>
      </c>
      <c r="D338" t="s">
        <v>16</v>
      </c>
      <c r="E338" t="s">
        <v>17</v>
      </c>
      <c r="F338">
        <v>1814</v>
      </c>
      <c r="G338">
        <v>653</v>
      </c>
      <c r="H338">
        <v>363</v>
      </c>
      <c r="I338">
        <v>25396</v>
      </c>
      <c r="J338">
        <v>25286</v>
      </c>
      <c r="K338">
        <v>39</v>
      </c>
      <c r="L338" t="s">
        <v>58</v>
      </c>
      <c r="M338" t="s">
        <v>19</v>
      </c>
      <c r="N338" s="21">
        <v>0.11143487163332809</v>
      </c>
    </row>
    <row r="339" spans="1:14" x14ac:dyDescent="0.3">
      <c r="A339" t="s">
        <v>439</v>
      </c>
      <c r="B339" t="s">
        <v>14</v>
      </c>
      <c r="C339" s="11">
        <v>45608</v>
      </c>
      <c r="D339" t="s">
        <v>49</v>
      </c>
      <c r="E339" t="s">
        <v>50</v>
      </c>
      <c r="F339">
        <v>3338</v>
      </c>
      <c r="G339">
        <v>277</v>
      </c>
      <c r="H339">
        <v>118</v>
      </c>
      <c r="I339">
        <v>60084</v>
      </c>
      <c r="J339">
        <v>59842</v>
      </c>
      <c r="K339">
        <v>252</v>
      </c>
      <c r="L339" t="s">
        <v>58</v>
      </c>
      <c r="M339" t="s">
        <v>19</v>
      </c>
      <c r="N339" s="21">
        <v>6.2129685107516146E-2</v>
      </c>
    </row>
    <row r="340" spans="1:14" x14ac:dyDescent="0.3">
      <c r="A340" t="s">
        <v>440</v>
      </c>
      <c r="B340" t="s">
        <v>40</v>
      </c>
      <c r="C340" s="11">
        <v>45790</v>
      </c>
      <c r="D340" t="s">
        <v>49</v>
      </c>
      <c r="E340" t="s">
        <v>50</v>
      </c>
      <c r="F340">
        <v>602</v>
      </c>
      <c r="G340">
        <v>594</v>
      </c>
      <c r="H340">
        <v>156</v>
      </c>
      <c r="I340">
        <v>4214</v>
      </c>
      <c r="J340">
        <v>3363</v>
      </c>
      <c r="K340">
        <v>164</v>
      </c>
      <c r="L340" t="s">
        <v>18</v>
      </c>
      <c r="M340" t="s">
        <v>38</v>
      </c>
      <c r="N340" s="21">
        <v>0.32083531086853345</v>
      </c>
    </row>
    <row r="341" spans="1:14" x14ac:dyDescent="0.3">
      <c r="A341" t="s">
        <v>442</v>
      </c>
      <c r="B341" t="s">
        <v>14</v>
      </c>
      <c r="C341" s="11">
        <v>45463</v>
      </c>
      <c r="D341" t="s">
        <v>42</v>
      </c>
      <c r="E341" t="s">
        <v>43</v>
      </c>
      <c r="F341">
        <v>4672</v>
      </c>
      <c r="G341">
        <v>325</v>
      </c>
      <c r="H341">
        <v>32</v>
      </c>
      <c r="I341">
        <v>88768</v>
      </c>
      <c r="J341">
        <v>87833</v>
      </c>
      <c r="K341">
        <v>118</v>
      </c>
      <c r="L341" t="s">
        <v>77</v>
      </c>
      <c r="M341" t="s">
        <v>38</v>
      </c>
      <c r="N341" s="21">
        <v>5.6653298485940883E-2</v>
      </c>
    </row>
    <row r="342" spans="1:14" x14ac:dyDescent="0.3">
      <c r="A342" t="s">
        <v>442</v>
      </c>
      <c r="B342" t="s">
        <v>14</v>
      </c>
      <c r="C342" s="11">
        <v>45463</v>
      </c>
      <c r="D342" t="s">
        <v>42</v>
      </c>
      <c r="E342" t="s">
        <v>43</v>
      </c>
      <c r="F342">
        <v>4672</v>
      </c>
      <c r="G342">
        <v>325</v>
      </c>
      <c r="H342">
        <v>32</v>
      </c>
      <c r="I342">
        <v>88768</v>
      </c>
      <c r="J342">
        <v>87833</v>
      </c>
      <c r="K342">
        <v>118</v>
      </c>
      <c r="L342" t="s">
        <v>18</v>
      </c>
      <c r="M342" t="s">
        <v>38</v>
      </c>
      <c r="N342" s="21">
        <v>5.6653298485940883E-2</v>
      </c>
    </row>
    <row r="343" spans="1:14" x14ac:dyDescent="0.3">
      <c r="A343" t="s">
        <v>443</v>
      </c>
      <c r="B343" t="s">
        <v>31</v>
      </c>
      <c r="C343" s="11">
        <v>45511</v>
      </c>
      <c r="D343" t="s">
        <v>42</v>
      </c>
      <c r="E343" t="s">
        <v>43</v>
      </c>
      <c r="F343">
        <v>1741</v>
      </c>
      <c r="G343">
        <v>164</v>
      </c>
      <c r="H343">
        <v>318</v>
      </c>
      <c r="I343">
        <v>8705</v>
      </c>
      <c r="J343">
        <v>8272</v>
      </c>
      <c r="K343">
        <v>121</v>
      </c>
      <c r="L343" t="s">
        <v>18</v>
      </c>
      <c r="M343" t="s">
        <v>25</v>
      </c>
      <c r="N343" s="21">
        <v>0.25537047673750718</v>
      </c>
    </row>
    <row r="344" spans="1:14" x14ac:dyDescent="0.3">
      <c r="A344" t="s">
        <v>445</v>
      </c>
      <c r="B344" t="s">
        <v>31</v>
      </c>
      <c r="C344" s="11">
        <v>45455</v>
      </c>
      <c r="D344" t="s">
        <v>22</v>
      </c>
      <c r="E344" t="s">
        <v>23</v>
      </c>
      <c r="F344">
        <v>246</v>
      </c>
      <c r="G344">
        <v>149</v>
      </c>
      <c r="H344">
        <v>130</v>
      </c>
      <c r="I344">
        <v>4674</v>
      </c>
      <c r="J344">
        <v>4390</v>
      </c>
      <c r="K344">
        <v>217</v>
      </c>
      <c r="L344" t="s">
        <v>44</v>
      </c>
      <c r="M344" t="s">
        <v>25</v>
      </c>
      <c r="N344" s="21">
        <v>0.11232349165596919</v>
      </c>
    </row>
    <row r="345" spans="1:14" x14ac:dyDescent="0.3">
      <c r="A345" t="s">
        <v>445</v>
      </c>
      <c r="B345" t="s">
        <v>31</v>
      </c>
      <c r="C345" s="11">
        <v>45455</v>
      </c>
      <c r="D345" t="s">
        <v>22</v>
      </c>
      <c r="E345" t="s">
        <v>23</v>
      </c>
      <c r="F345">
        <v>246</v>
      </c>
      <c r="G345">
        <v>149</v>
      </c>
      <c r="H345">
        <v>130</v>
      </c>
      <c r="I345">
        <v>4674</v>
      </c>
      <c r="J345">
        <v>4390</v>
      </c>
      <c r="K345">
        <v>217</v>
      </c>
      <c r="L345" t="s">
        <v>77</v>
      </c>
      <c r="M345" t="s">
        <v>25</v>
      </c>
      <c r="N345" s="21">
        <v>0.11232349165596919</v>
      </c>
    </row>
    <row r="346" spans="1:14" x14ac:dyDescent="0.3">
      <c r="A346" t="s">
        <v>447</v>
      </c>
      <c r="B346" t="s">
        <v>31</v>
      </c>
      <c r="C346" s="11">
        <v>45474</v>
      </c>
      <c r="D346" t="s">
        <v>33</v>
      </c>
      <c r="E346" t="s">
        <v>34</v>
      </c>
      <c r="F346">
        <v>4808</v>
      </c>
      <c r="G346">
        <v>772</v>
      </c>
      <c r="H346">
        <v>320</v>
      </c>
      <c r="I346">
        <v>72120</v>
      </c>
      <c r="J346">
        <v>71696</v>
      </c>
      <c r="K346">
        <v>195</v>
      </c>
      <c r="L346" t="s">
        <v>44</v>
      </c>
      <c r="M346" t="s">
        <v>55</v>
      </c>
      <c r="N346" s="21">
        <v>8.1808097615085965E-2</v>
      </c>
    </row>
    <row r="347" spans="1:14" x14ac:dyDescent="0.3">
      <c r="A347" t="s">
        <v>447</v>
      </c>
      <c r="B347" t="s">
        <v>31</v>
      </c>
      <c r="C347" s="11">
        <v>45474</v>
      </c>
      <c r="D347" t="s">
        <v>33</v>
      </c>
      <c r="E347" t="s">
        <v>34</v>
      </c>
      <c r="F347">
        <v>4808</v>
      </c>
      <c r="G347">
        <v>772</v>
      </c>
      <c r="H347">
        <v>320</v>
      </c>
      <c r="I347">
        <v>72120</v>
      </c>
      <c r="J347">
        <v>71696</v>
      </c>
      <c r="K347">
        <v>195</v>
      </c>
      <c r="L347" t="s">
        <v>18</v>
      </c>
      <c r="M347" t="s">
        <v>55</v>
      </c>
      <c r="N347" s="21">
        <v>8.1808097615085965E-2</v>
      </c>
    </row>
    <row r="348" spans="1:14" x14ac:dyDescent="0.3">
      <c r="A348" t="s">
        <v>449</v>
      </c>
      <c r="B348" t="s">
        <v>31</v>
      </c>
      <c r="C348" s="11">
        <v>45476</v>
      </c>
      <c r="D348" t="s">
        <v>42</v>
      </c>
      <c r="E348" t="s">
        <v>43</v>
      </c>
      <c r="F348">
        <v>4799</v>
      </c>
      <c r="G348">
        <v>694</v>
      </c>
      <c r="H348">
        <v>289</v>
      </c>
      <c r="I348">
        <v>43191</v>
      </c>
      <c r="J348">
        <v>42228</v>
      </c>
      <c r="K348">
        <v>118</v>
      </c>
      <c r="L348" t="s">
        <v>44</v>
      </c>
      <c r="M348" t="s">
        <v>25</v>
      </c>
      <c r="N348" s="21">
        <v>0.13387048227640017</v>
      </c>
    </row>
    <row r="349" spans="1:14" x14ac:dyDescent="0.3">
      <c r="A349" t="s">
        <v>450</v>
      </c>
      <c r="B349" t="s">
        <v>40</v>
      </c>
      <c r="C349" s="11">
        <v>45488</v>
      </c>
      <c r="D349" t="s">
        <v>16</v>
      </c>
      <c r="E349" t="s">
        <v>17</v>
      </c>
      <c r="F349">
        <v>3663</v>
      </c>
      <c r="G349">
        <v>17</v>
      </c>
      <c r="H349">
        <v>295</v>
      </c>
      <c r="I349">
        <v>51282</v>
      </c>
      <c r="J349">
        <v>50567</v>
      </c>
      <c r="K349">
        <v>84</v>
      </c>
      <c r="L349" t="s">
        <v>18</v>
      </c>
      <c r="M349" t="s">
        <v>19</v>
      </c>
      <c r="N349" s="21">
        <v>7.7512577512577507E-2</v>
      </c>
    </row>
    <row r="350" spans="1:14" x14ac:dyDescent="0.3">
      <c r="A350" t="s">
        <v>451</v>
      </c>
      <c r="B350" t="s">
        <v>31</v>
      </c>
      <c r="C350" s="11">
        <v>45778</v>
      </c>
      <c r="D350" t="s">
        <v>22</v>
      </c>
      <c r="E350" t="s">
        <v>23</v>
      </c>
      <c r="F350">
        <v>1430</v>
      </c>
      <c r="G350">
        <v>376</v>
      </c>
      <c r="H350">
        <v>33</v>
      </c>
      <c r="I350">
        <v>21450</v>
      </c>
      <c r="J350">
        <v>20509</v>
      </c>
      <c r="K350">
        <v>251</v>
      </c>
      <c r="L350" t="s">
        <v>77</v>
      </c>
      <c r="M350" t="s">
        <v>38</v>
      </c>
      <c r="N350" s="21">
        <v>8.5734265734265735E-2</v>
      </c>
    </row>
    <row r="351" spans="1:14" x14ac:dyDescent="0.3">
      <c r="A351" t="s">
        <v>452</v>
      </c>
      <c r="B351" t="s">
        <v>14</v>
      </c>
      <c r="C351" s="11">
        <v>45776</v>
      </c>
      <c r="D351" t="s">
        <v>33</v>
      </c>
      <c r="E351" t="s">
        <v>34</v>
      </c>
      <c r="F351">
        <v>249</v>
      </c>
      <c r="G351">
        <v>592</v>
      </c>
      <c r="H351">
        <v>230</v>
      </c>
      <c r="I351">
        <v>1494</v>
      </c>
      <c r="J351">
        <v>1044</v>
      </c>
      <c r="K351">
        <v>201</v>
      </c>
      <c r="L351" t="s">
        <v>24</v>
      </c>
      <c r="M351" t="s">
        <v>55</v>
      </c>
      <c r="N351" s="21">
        <v>0.7168674698795181</v>
      </c>
    </row>
    <row r="352" spans="1:14" x14ac:dyDescent="0.3">
      <c r="A352" t="s">
        <v>452</v>
      </c>
      <c r="B352" t="s">
        <v>14</v>
      </c>
      <c r="C352" s="11">
        <v>45776</v>
      </c>
      <c r="D352" t="s">
        <v>33</v>
      </c>
      <c r="E352" t="s">
        <v>34</v>
      </c>
      <c r="F352">
        <v>249</v>
      </c>
      <c r="G352">
        <v>592</v>
      </c>
      <c r="H352">
        <v>230</v>
      </c>
      <c r="I352">
        <v>1494</v>
      </c>
      <c r="J352">
        <v>1044</v>
      </c>
      <c r="K352">
        <v>201</v>
      </c>
      <c r="L352" t="s">
        <v>44</v>
      </c>
      <c r="M352" t="s">
        <v>55</v>
      </c>
      <c r="N352" s="21">
        <v>0.7168674698795181</v>
      </c>
    </row>
    <row r="353" spans="1:14" x14ac:dyDescent="0.3">
      <c r="A353" t="s">
        <v>454</v>
      </c>
      <c r="B353" t="s">
        <v>40</v>
      </c>
      <c r="C353" s="11">
        <v>45724</v>
      </c>
      <c r="D353" t="s">
        <v>49</v>
      </c>
      <c r="E353" t="s">
        <v>50</v>
      </c>
      <c r="F353">
        <v>2382</v>
      </c>
      <c r="G353">
        <v>265</v>
      </c>
      <c r="H353">
        <v>134</v>
      </c>
      <c r="I353">
        <v>38112</v>
      </c>
      <c r="J353">
        <v>37437</v>
      </c>
      <c r="K353">
        <v>249</v>
      </c>
      <c r="L353" t="s">
        <v>77</v>
      </c>
      <c r="M353" t="s">
        <v>25</v>
      </c>
      <c r="N353" s="21">
        <v>7.2969143576826198E-2</v>
      </c>
    </row>
    <row r="354" spans="1:14" x14ac:dyDescent="0.3">
      <c r="A354" t="s">
        <v>454</v>
      </c>
      <c r="B354" t="s">
        <v>40</v>
      </c>
      <c r="C354" s="11">
        <v>45724</v>
      </c>
      <c r="D354" t="s">
        <v>49</v>
      </c>
      <c r="E354" t="s">
        <v>50</v>
      </c>
      <c r="F354">
        <v>2382</v>
      </c>
      <c r="G354">
        <v>265</v>
      </c>
      <c r="H354">
        <v>134</v>
      </c>
      <c r="I354">
        <v>38112</v>
      </c>
      <c r="J354">
        <v>37437</v>
      </c>
      <c r="K354">
        <v>249</v>
      </c>
      <c r="L354" t="s">
        <v>44</v>
      </c>
      <c r="M354" t="s">
        <v>25</v>
      </c>
      <c r="N354" s="21">
        <v>7.2969143576826198E-2</v>
      </c>
    </row>
    <row r="355" spans="1:14" x14ac:dyDescent="0.3">
      <c r="A355" t="s">
        <v>455</v>
      </c>
      <c r="B355" t="s">
        <v>40</v>
      </c>
      <c r="C355" s="11">
        <v>45444</v>
      </c>
      <c r="D355" t="s">
        <v>22</v>
      </c>
      <c r="E355" t="s">
        <v>23</v>
      </c>
      <c r="F355">
        <v>1272</v>
      </c>
      <c r="G355">
        <v>465</v>
      </c>
      <c r="H355">
        <v>99</v>
      </c>
      <c r="I355">
        <v>24168</v>
      </c>
      <c r="J355">
        <v>23719</v>
      </c>
      <c r="K355">
        <v>42</v>
      </c>
      <c r="L355" t="s">
        <v>24</v>
      </c>
      <c r="M355" t="s">
        <v>25</v>
      </c>
      <c r="N355" s="21">
        <v>7.5968222442899705E-2</v>
      </c>
    </row>
    <row r="356" spans="1:14" x14ac:dyDescent="0.3">
      <c r="A356" t="s">
        <v>455</v>
      </c>
      <c r="B356" t="s">
        <v>40</v>
      </c>
      <c r="C356" s="11">
        <v>45444</v>
      </c>
      <c r="D356" t="s">
        <v>22</v>
      </c>
      <c r="E356" t="s">
        <v>23</v>
      </c>
      <c r="F356">
        <v>1272</v>
      </c>
      <c r="G356">
        <v>465</v>
      </c>
      <c r="H356">
        <v>99</v>
      </c>
      <c r="I356">
        <v>24168</v>
      </c>
      <c r="J356">
        <v>23719</v>
      </c>
      <c r="K356">
        <v>42</v>
      </c>
      <c r="L356" t="s">
        <v>77</v>
      </c>
      <c r="M356" t="s">
        <v>25</v>
      </c>
      <c r="N356" s="21">
        <v>7.5968222442899705E-2</v>
      </c>
    </row>
    <row r="357" spans="1:14" x14ac:dyDescent="0.3">
      <c r="A357" t="s">
        <v>457</v>
      </c>
      <c r="B357" t="s">
        <v>40</v>
      </c>
      <c r="C357" s="11">
        <v>45648</v>
      </c>
      <c r="D357" t="s">
        <v>49</v>
      </c>
      <c r="E357" t="s">
        <v>50</v>
      </c>
      <c r="F357">
        <v>3196</v>
      </c>
      <c r="G357">
        <v>941</v>
      </c>
      <c r="H357">
        <v>376</v>
      </c>
      <c r="I357">
        <v>35156</v>
      </c>
      <c r="J357">
        <v>34444</v>
      </c>
      <c r="K357">
        <v>241</v>
      </c>
      <c r="L357" t="s">
        <v>58</v>
      </c>
      <c r="M357" t="s">
        <v>55</v>
      </c>
      <c r="N357" s="21">
        <v>0.1283706906360223</v>
      </c>
    </row>
    <row r="358" spans="1:14" x14ac:dyDescent="0.3">
      <c r="A358" t="s">
        <v>457</v>
      </c>
      <c r="B358" t="s">
        <v>40</v>
      </c>
      <c r="C358" s="11">
        <v>45648</v>
      </c>
      <c r="D358" t="s">
        <v>49</v>
      </c>
      <c r="E358" t="s">
        <v>50</v>
      </c>
      <c r="F358">
        <v>3196</v>
      </c>
      <c r="G358">
        <v>941</v>
      </c>
      <c r="H358">
        <v>376</v>
      </c>
      <c r="I358">
        <v>35156</v>
      </c>
      <c r="J358">
        <v>34444</v>
      </c>
      <c r="K358">
        <v>241</v>
      </c>
      <c r="L358" t="s">
        <v>44</v>
      </c>
      <c r="M358" t="s">
        <v>55</v>
      </c>
      <c r="N358" s="21">
        <v>0.1283706906360223</v>
      </c>
    </row>
    <row r="359" spans="1:14" x14ac:dyDescent="0.3">
      <c r="A359" t="s">
        <v>458</v>
      </c>
      <c r="B359" t="s">
        <v>40</v>
      </c>
      <c r="C359" s="11">
        <v>45523</v>
      </c>
      <c r="D359" t="s">
        <v>22</v>
      </c>
      <c r="E359" t="s">
        <v>23</v>
      </c>
      <c r="F359">
        <v>1257</v>
      </c>
      <c r="G359">
        <v>19</v>
      </c>
      <c r="H359">
        <v>351</v>
      </c>
      <c r="I359">
        <v>12570</v>
      </c>
      <c r="J359">
        <v>11660</v>
      </c>
      <c r="K359">
        <v>194</v>
      </c>
      <c r="L359" t="s">
        <v>58</v>
      </c>
      <c r="M359" t="s">
        <v>19</v>
      </c>
      <c r="N359" s="21">
        <v>0.12943516308671441</v>
      </c>
    </row>
    <row r="360" spans="1:14" x14ac:dyDescent="0.3">
      <c r="A360" t="s">
        <v>459</v>
      </c>
      <c r="B360" t="s">
        <v>31</v>
      </c>
      <c r="C360" s="11">
        <v>45587</v>
      </c>
      <c r="D360" t="s">
        <v>33</v>
      </c>
      <c r="E360" t="s">
        <v>34</v>
      </c>
      <c r="F360">
        <v>3770</v>
      </c>
      <c r="G360">
        <v>917</v>
      </c>
      <c r="H360">
        <v>129</v>
      </c>
      <c r="I360">
        <v>71630</v>
      </c>
      <c r="J360">
        <v>71322</v>
      </c>
      <c r="K360">
        <v>76</v>
      </c>
      <c r="L360" t="s">
        <v>18</v>
      </c>
      <c r="M360" t="s">
        <v>55</v>
      </c>
      <c r="N360" s="21">
        <v>6.7234398994834563E-2</v>
      </c>
    </row>
    <row r="361" spans="1:14" x14ac:dyDescent="0.3">
      <c r="A361" t="s">
        <v>459</v>
      </c>
      <c r="B361" t="s">
        <v>31</v>
      </c>
      <c r="C361" s="11">
        <v>45587</v>
      </c>
      <c r="D361" t="s">
        <v>33</v>
      </c>
      <c r="E361" t="s">
        <v>34</v>
      </c>
      <c r="F361">
        <v>3770</v>
      </c>
      <c r="G361">
        <v>917</v>
      </c>
      <c r="H361">
        <v>129</v>
      </c>
      <c r="I361">
        <v>71630</v>
      </c>
      <c r="J361">
        <v>71322</v>
      </c>
      <c r="K361">
        <v>76</v>
      </c>
      <c r="L361" t="s">
        <v>44</v>
      </c>
      <c r="M361" t="s">
        <v>55</v>
      </c>
      <c r="N361" s="21">
        <v>6.7234398994834563E-2</v>
      </c>
    </row>
    <row r="362" spans="1:14" x14ac:dyDescent="0.3">
      <c r="A362" t="s">
        <v>460</v>
      </c>
      <c r="B362" t="s">
        <v>14</v>
      </c>
      <c r="C362" s="11">
        <v>45489</v>
      </c>
      <c r="D362" t="s">
        <v>22</v>
      </c>
      <c r="E362" t="s">
        <v>23</v>
      </c>
      <c r="F362">
        <v>4725</v>
      </c>
      <c r="G362">
        <v>400</v>
      </c>
      <c r="H362">
        <v>362</v>
      </c>
      <c r="I362">
        <v>75600</v>
      </c>
      <c r="J362">
        <v>74927</v>
      </c>
      <c r="K362">
        <v>43</v>
      </c>
      <c r="L362" t="s">
        <v>44</v>
      </c>
      <c r="M362" t="s">
        <v>19</v>
      </c>
      <c r="N362" s="21">
        <v>7.2579365079365077E-2</v>
      </c>
    </row>
    <row r="363" spans="1:14" x14ac:dyDescent="0.3">
      <c r="A363" t="s">
        <v>460</v>
      </c>
      <c r="B363" t="s">
        <v>14</v>
      </c>
      <c r="C363" s="11">
        <v>45489</v>
      </c>
      <c r="D363" t="s">
        <v>22</v>
      </c>
      <c r="E363" t="s">
        <v>23</v>
      </c>
      <c r="F363">
        <v>4725</v>
      </c>
      <c r="G363">
        <v>400</v>
      </c>
      <c r="H363">
        <v>362</v>
      </c>
      <c r="I363">
        <v>75600</v>
      </c>
      <c r="J363">
        <v>74927</v>
      </c>
      <c r="K363">
        <v>43</v>
      </c>
      <c r="L363" t="s">
        <v>24</v>
      </c>
      <c r="M363" t="s">
        <v>19</v>
      </c>
      <c r="N363" s="21">
        <v>7.2579365079365077E-2</v>
      </c>
    </row>
    <row r="364" spans="1:14" x14ac:dyDescent="0.3">
      <c r="A364" t="s">
        <v>462</v>
      </c>
      <c r="B364" t="s">
        <v>27</v>
      </c>
      <c r="C364" s="11">
        <v>45712</v>
      </c>
      <c r="D364" t="s">
        <v>22</v>
      </c>
      <c r="E364" t="s">
        <v>23</v>
      </c>
      <c r="F364">
        <v>4188</v>
      </c>
      <c r="G364">
        <v>942</v>
      </c>
      <c r="H364">
        <v>118</v>
      </c>
      <c r="I364">
        <v>20940</v>
      </c>
      <c r="J364">
        <v>20471</v>
      </c>
      <c r="K364">
        <v>102</v>
      </c>
      <c r="L364" t="s">
        <v>58</v>
      </c>
      <c r="M364" t="s">
        <v>25</v>
      </c>
      <c r="N364" s="21">
        <v>0.25062082139446035</v>
      </c>
    </row>
    <row r="365" spans="1:14" x14ac:dyDescent="0.3">
      <c r="A365" t="s">
        <v>463</v>
      </c>
      <c r="B365" t="s">
        <v>14</v>
      </c>
      <c r="C365" s="11">
        <v>45530</v>
      </c>
      <c r="D365" t="s">
        <v>42</v>
      </c>
      <c r="E365" t="s">
        <v>43</v>
      </c>
      <c r="F365">
        <v>929</v>
      </c>
      <c r="G365">
        <v>192</v>
      </c>
      <c r="H365">
        <v>322</v>
      </c>
      <c r="I365">
        <v>16722</v>
      </c>
      <c r="J365">
        <v>15996</v>
      </c>
      <c r="K365">
        <v>145</v>
      </c>
      <c r="L365" t="s">
        <v>24</v>
      </c>
      <c r="M365" t="s">
        <v>38</v>
      </c>
      <c r="N365" s="21">
        <v>8.6293505561535699E-2</v>
      </c>
    </row>
    <row r="366" spans="1:14" x14ac:dyDescent="0.3">
      <c r="A366" t="s">
        <v>464</v>
      </c>
      <c r="B366" t="s">
        <v>40</v>
      </c>
      <c r="C366" s="11">
        <v>45675</v>
      </c>
      <c r="D366" t="s">
        <v>33</v>
      </c>
      <c r="E366" t="s">
        <v>34</v>
      </c>
      <c r="F366">
        <v>4321</v>
      </c>
      <c r="G366">
        <v>874</v>
      </c>
      <c r="H366">
        <v>172</v>
      </c>
      <c r="I366">
        <v>30247</v>
      </c>
      <c r="J366">
        <v>29254</v>
      </c>
      <c r="K366">
        <v>122</v>
      </c>
      <c r="L366" t="s">
        <v>18</v>
      </c>
      <c r="M366" t="s">
        <v>38</v>
      </c>
      <c r="N366" s="21">
        <v>0.17743908486792079</v>
      </c>
    </row>
    <row r="367" spans="1:14" x14ac:dyDescent="0.3">
      <c r="A367" t="s">
        <v>464</v>
      </c>
      <c r="B367" t="s">
        <v>40</v>
      </c>
      <c r="C367" s="11">
        <v>45675</v>
      </c>
      <c r="D367" t="s">
        <v>33</v>
      </c>
      <c r="E367" t="s">
        <v>34</v>
      </c>
      <c r="F367">
        <v>4321</v>
      </c>
      <c r="G367">
        <v>874</v>
      </c>
      <c r="H367">
        <v>172</v>
      </c>
      <c r="I367">
        <v>30247</v>
      </c>
      <c r="J367">
        <v>29254</v>
      </c>
      <c r="K367">
        <v>122</v>
      </c>
      <c r="L367" t="s">
        <v>24</v>
      </c>
      <c r="M367" t="s">
        <v>38</v>
      </c>
      <c r="N367" s="21">
        <v>0.17743908486792079</v>
      </c>
    </row>
    <row r="368" spans="1:14" x14ac:dyDescent="0.3">
      <c r="A368" t="s">
        <v>466</v>
      </c>
      <c r="B368" t="s">
        <v>40</v>
      </c>
      <c r="C368" s="11">
        <v>45480</v>
      </c>
      <c r="D368" t="s">
        <v>16</v>
      </c>
      <c r="E368" t="s">
        <v>17</v>
      </c>
      <c r="F368">
        <v>4767</v>
      </c>
      <c r="G368">
        <v>190</v>
      </c>
      <c r="H368">
        <v>340</v>
      </c>
      <c r="I368">
        <v>28602</v>
      </c>
      <c r="J368">
        <v>28044</v>
      </c>
      <c r="K368">
        <v>210</v>
      </c>
      <c r="L368" t="s">
        <v>77</v>
      </c>
      <c r="M368" t="s">
        <v>55</v>
      </c>
      <c r="N368" s="21">
        <v>0.18519683938186141</v>
      </c>
    </row>
    <row r="369" spans="1:14" x14ac:dyDescent="0.3">
      <c r="A369" t="s">
        <v>467</v>
      </c>
      <c r="B369" t="s">
        <v>14</v>
      </c>
      <c r="C369" s="11">
        <v>45722</v>
      </c>
      <c r="D369" t="s">
        <v>49</v>
      </c>
      <c r="E369" t="s">
        <v>50</v>
      </c>
      <c r="F369">
        <v>3592</v>
      </c>
      <c r="G369">
        <v>911</v>
      </c>
      <c r="H369">
        <v>375</v>
      </c>
      <c r="I369">
        <v>50288</v>
      </c>
      <c r="J369">
        <v>49490</v>
      </c>
      <c r="K369">
        <v>32</v>
      </c>
      <c r="L369" t="s">
        <v>58</v>
      </c>
      <c r="M369" t="s">
        <v>25</v>
      </c>
      <c r="N369" s="21">
        <v>9.7001272669424113E-2</v>
      </c>
    </row>
    <row r="370" spans="1:14" x14ac:dyDescent="0.3">
      <c r="A370" t="s">
        <v>469</v>
      </c>
      <c r="B370" t="s">
        <v>27</v>
      </c>
      <c r="C370" s="11">
        <v>45590</v>
      </c>
      <c r="D370" t="s">
        <v>69</v>
      </c>
      <c r="E370" t="s">
        <v>70</v>
      </c>
      <c r="F370">
        <v>4661</v>
      </c>
      <c r="G370">
        <v>935</v>
      </c>
      <c r="H370">
        <v>433</v>
      </c>
      <c r="I370">
        <v>23305</v>
      </c>
      <c r="J370">
        <v>22583</v>
      </c>
      <c r="K370">
        <v>63</v>
      </c>
      <c r="L370" t="s">
        <v>58</v>
      </c>
      <c r="M370" t="s">
        <v>19</v>
      </c>
      <c r="N370" s="21">
        <v>0.25869984981763572</v>
      </c>
    </row>
    <row r="371" spans="1:14" x14ac:dyDescent="0.3">
      <c r="A371" t="s">
        <v>469</v>
      </c>
      <c r="B371" t="s">
        <v>27</v>
      </c>
      <c r="C371" s="11">
        <v>45590</v>
      </c>
      <c r="D371" t="s">
        <v>69</v>
      </c>
      <c r="E371" t="s">
        <v>70</v>
      </c>
      <c r="F371">
        <v>4661</v>
      </c>
      <c r="G371">
        <v>935</v>
      </c>
      <c r="H371">
        <v>433</v>
      </c>
      <c r="I371">
        <v>23305</v>
      </c>
      <c r="J371">
        <v>22583</v>
      </c>
      <c r="K371">
        <v>63</v>
      </c>
      <c r="L371" t="s">
        <v>77</v>
      </c>
      <c r="M371" t="s">
        <v>19</v>
      </c>
      <c r="N371" s="21">
        <v>0.25869984981763572</v>
      </c>
    </row>
    <row r="372" spans="1:14" x14ac:dyDescent="0.3">
      <c r="A372" t="s">
        <v>471</v>
      </c>
      <c r="B372" t="s">
        <v>40</v>
      </c>
      <c r="C372" s="11">
        <v>45669</v>
      </c>
      <c r="D372" t="s">
        <v>16</v>
      </c>
      <c r="E372" t="s">
        <v>17</v>
      </c>
      <c r="F372">
        <v>4134</v>
      </c>
      <c r="G372">
        <v>824</v>
      </c>
      <c r="H372">
        <v>99</v>
      </c>
      <c r="I372">
        <v>41340</v>
      </c>
      <c r="J372">
        <v>41050</v>
      </c>
      <c r="K372">
        <v>177</v>
      </c>
      <c r="L372" t="s">
        <v>24</v>
      </c>
      <c r="M372" t="s">
        <v>25</v>
      </c>
      <c r="N372" s="21">
        <v>0.12232704402515723</v>
      </c>
    </row>
    <row r="373" spans="1:14" x14ac:dyDescent="0.3">
      <c r="A373" t="s">
        <v>473</v>
      </c>
      <c r="B373" t="s">
        <v>40</v>
      </c>
      <c r="C373" s="11">
        <v>45576</v>
      </c>
      <c r="D373" t="s">
        <v>49</v>
      </c>
      <c r="E373" t="s">
        <v>50</v>
      </c>
      <c r="F373">
        <v>400</v>
      </c>
      <c r="G373">
        <v>680</v>
      </c>
      <c r="H373">
        <v>434</v>
      </c>
      <c r="I373">
        <v>6400</v>
      </c>
      <c r="J373">
        <v>5472</v>
      </c>
      <c r="K373">
        <v>160</v>
      </c>
      <c r="L373" t="s">
        <v>18</v>
      </c>
      <c r="M373" t="s">
        <v>25</v>
      </c>
      <c r="N373" s="21">
        <v>0.23656250000000001</v>
      </c>
    </row>
    <row r="374" spans="1:14" x14ac:dyDescent="0.3">
      <c r="A374" t="s">
        <v>473</v>
      </c>
      <c r="B374" t="s">
        <v>40</v>
      </c>
      <c r="C374" s="11">
        <v>45576</v>
      </c>
      <c r="D374" t="s">
        <v>49</v>
      </c>
      <c r="E374" t="s">
        <v>50</v>
      </c>
      <c r="F374">
        <v>400</v>
      </c>
      <c r="G374">
        <v>680</v>
      </c>
      <c r="H374">
        <v>434</v>
      </c>
      <c r="I374">
        <v>6400</v>
      </c>
      <c r="J374">
        <v>5472</v>
      </c>
      <c r="K374">
        <v>160</v>
      </c>
      <c r="L374" t="s">
        <v>44</v>
      </c>
      <c r="M374" t="s">
        <v>25</v>
      </c>
      <c r="N374" s="21">
        <v>0.23656250000000001</v>
      </c>
    </row>
    <row r="375" spans="1:14" x14ac:dyDescent="0.3">
      <c r="A375" t="s">
        <v>475</v>
      </c>
      <c r="B375" t="s">
        <v>40</v>
      </c>
      <c r="C375" s="11">
        <v>45531</v>
      </c>
      <c r="D375" t="s">
        <v>16</v>
      </c>
      <c r="E375" t="s">
        <v>17</v>
      </c>
      <c r="F375">
        <v>3960</v>
      </c>
      <c r="G375">
        <v>266</v>
      </c>
      <c r="H375">
        <v>8</v>
      </c>
      <c r="I375">
        <v>35640</v>
      </c>
      <c r="J375">
        <v>34850</v>
      </c>
      <c r="K375">
        <v>208</v>
      </c>
      <c r="L375" t="s">
        <v>44</v>
      </c>
      <c r="M375" t="s">
        <v>55</v>
      </c>
      <c r="N375" s="21">
        <v>0.11879910213243547</v>
      </c>
    </row>
    <row r="376" spans="1:14" x14ac:dyDescent="0.3">
      <c r="A376" t="s">
        <v>475</v>
      </c>
      <c r="B376" t="s">
        <v>40</v>
      </c>
      <c r="C376" s="11">
        <v>45531</v>
      </c>
      <c r="D376" t="s">
        <v>16</v>
      </c>
      <c r="E376" t="s">
        <v>17</v>
      </c>
      <c r="F376">
        <v>3960</v>
      </c>
      <c r="G376">
        <v>266</v>
      </c>
      <c r="H376">
        <v>8</v>
      </c>
      <c r="I376">
        <v>35640</v>
      </c>
      <c r="J376">
        <v>34850</v>
      </c>
      <c r="K376">
        <v>208</v>
      </c>
      <c r="L376" t="s">
        <v>24</v>
      </c>
      <c r="M376" t="s">
        <v>55</v>
      </c>
      <c r="N376" s="21">
        <v>0.11879910213243547</v>
      </c>
    </row>
    <row r="377" spans="1:14" x14ac:dyDescent="0.3">
      <c r="A377" t="s">
        <v>477</v>
      </c>
      <c r="B377" t="s">
        <v>40</v>
      </c>
      <c r="C377" s="11">
        <v>45690</v>
      </c>
      <c r="D377" t="s">
        <v>33</v>
      </c>
      <c r="E377" t="s">
        <v>34</v>
      </c>
      <c r="F377">
        <v>886</v>
      </c>
      <c r="G377">
        <v>126</v>
      </c>
      <c r="H377">
        <v>153</v>
      </c>
      <c r="I377">
        <v>4430</v>
      </c>
      <c r="J377">
        <v>4037</v>
      </c>
      <c r="K377">
        <v>212</v>
      </c>
      <c r="L377" t="s">
        <v>18</v>
      </c>
      <c r="M377" t="s">
        <v>38</v>
      </c>
      <c r="N377" s="21">
        <v>0.26297968397291194</v>
      </c>
    </row>
    <row r="378" spans="1:14" x14ac:dyDescent="0.3">
      <c r="A378" t="s">
        <v>478</v>
      </c>
      <c r="B378" t="s">
        <v>14</v>
      </c>
      <c r="C378" s="11">
        <v>45491</v>
      </c>
      <c r="D378" t="s">
        <v>49</v>
      </c>
      <c r="E378" t="s">
        <v>50</v>
      </c>
      <c r="F378">
        <v>827</v>
      </c>
      <c r="G378">
        <v>77</v>
      </c>
      <c r="H378">
        <v>402</v>
      </c>
      <c r="I378">
        <v>14886</v>
      </c>
      <c r="J378">
        <v>14129</v>
      </c>
      <c r="K378">
        <v>254</v>
      </c>
      <c r="L378" t="s">
        <v>58</v>
      </c>
      <c r="M378" t="s">
        <v>25</v>
      </c>
      <c r="N378" s="21">
        <v>8.7733440816874911E-2</v>
      </c>
    </row>
    <row r="379" spans="1:14" x14ac:dyDescent="0.3">
      <c r="A379" t="s">
        <v>479</v>
      </c>
      <c r="B379" t="s">
        <v>40</v>
      </c>
      <c r="C379" s="11">
        <v>45465</v>
      </c>
      <c r="D379" t="s">
        <v>16</v>
      </c>
      <c r="E379" t="s">
        <v>17</v>
      </c>
      <c r="F379">
        <v>3813</v>
      </c>
      <c r="G379">
        <v>935</v>
      </c>
      <c r="H379">
        <v>274</v>
      </c>
      <c r="I379">
        <v>68634</v>
      </c>
      <c r="J379">
        <v>68488</v>
      </c>
      <c r="K379">
        <v>251</v>
      </c>
      <c r="L379" t="s">
        <v>77</v>
      </c>
      <c r="M379" t="s">
        <v>19</v>
      </c>
      <c r="N379" s="21">
        <v>7.3170731707317069E-2</v>
      </c>
    </row>
    <row r="380" spans="1:14" x14ac:dyDescent="0.3">
      <c r="A380" t="s">
        <v>479</v>
      </c>
      <c r="B380" t="s">
        <v>40</v>
      </c>
      <c r="C380" s="11">
        <v>45465</v>
      </c>
      <c r="D380" t="s">
        <v>16</v>
      </c>
      <c r="E380" t="s">
        <v>17</v>
      </c>
      <c r="F380">
        <v>3813</v>
      </c>
      <c r="G380">
        <v>935</v>
      </c>
      <c r="H380">
        <v>274</v>
      </c>
      <c r="I380">
        <v>68634</v>
      </c>
      <c r="J380">
        <v>68488</v>
      </c>
      <c r="K380">
        <v>251</v>
      </c>
      <c r="L380" t="s">
        <v>44</v>
      </c>
      <c r="M380" t="s">
        <v>19</v>
      </c>
      <c r="N380" s="21">
        <v>7.3170731707317069E-2</v>
      </c>
    </row>
    <row r="381" spans="1:14" x14ac:dyDescent="0.3">
      <c r="A381" t="s">
        <v>480</v>
      </c>
      <c r="B381" t="s">
        <v>31</v>
      </c>
      <c r="C381" s="11">
        <v>45743</v>
      </c>
      <c r="D381" t="s">
        <v>42</v>
      </c>
      <c r="E381" t="s">
        <v>43</v>
      </c>
      <c r="F381">
        <v>1377</v>
      </c>
      <c r="G381">
        <v>796</v>
      </c>
      <c r="H381">
        <v>387</v>
      </c>
      <c r="I381">
        <v>22032</v>
      </c>
      <c r="J381">
        <v>21869</v>
      </c>
      <c r="K381">
        <v>189</v>
      </c>
      <c r="L381" t="s">
        <v>77</v>
      </c>
      <c r="M381" t="s">
        <v>38</v>
      </c>
      <c r="N381" s="21">
        <v>0.11619462599854757</v>
      </c>
    </row>
    <row r="382" spans="1:14" x14ac:dyDescent="0.3">
      <c r="A382" t="s">
        <v>480</v>
      </c>
      <c r="B382" t="s">
        <v>31</v>
      </c>
      <c r="C382" s="11">
        <v>45743</v>
      </c>
      <c r="D382" t="s">
        <v>42</v>
      </c>
      <c r="E382" t="s">
        <v>43</v>
      </c>
      <c r="F382">
        <v>1377</v>
      </c>
      <c r="G382">
        <v>796</v>
      </c>
      <c r="H382">
        <v>387</v>
      </c>
      <c r="I382">
        <v>22032</v>
      </c>
      <c r="J382">
        <v>21869</v>
      </c>
      <c r="K382">
        <v>189</v>
      </c>
      <c r="L382" t="s">
        <v>24</v>
      </c>
      <c r="M382" t="s">
        <v>38</v>
      </c>
      <c r="N382" s="21">
        <v>0.11619462599854757</v>
      </c>
    </row>
    <row r="383" spans="1:14" x14ac:dyDescent="0.3">
      <c r="A383" t="s">
        <v>482</v>
      </c>
      <c r="B383" t="s">
        <v>40</v>
      </c>
      <c r="C383" s="11">
        <v>45775</v>
      </c>
      <c r="D383" t="s">
        <v>42</v>
      </c>
      <c r="E383" t="s">
        <v>43</v>
      </c>
      <c r="F383">
        <v>2089</v>
      </c>
      <c r="G383">
        <v>476</v>
      </c>
      <c r="H383">
        <v>69</v>
      </c>
      <c r="I383">
        <v>16712</v>
      </c>
      <c r="J383">
        <v>16309</v>
      </c>
      <c r="K383">
        <v>64</v>
      </c>
      <c r="L383" t="s">
        <v>58</v>
      </c>
      <c r="M383" t="s">
        <v>19</v>
      </c>
      <c r="N383" s="21">
        <v>0.15761129727142173</v>
      </c>
    </row>
    <row r="384" spans="1:14" x14ac:dyDescent="0.3">
      <c r="A384" t="s">
        <v>482</v>
      </c>
      <c r="B384" t="s">
        <v>40</v>
      </c>
      <c r="C384" s="11">
        <v>45775</v>
      </c>
      <c r="D384" t="s">
        <v>42</v>
      </c>
      <c r="E384" t="s">
        <v>43</v>
      </c>
      <c r="F384">
        <v>2089</v>
      </c>
      <c r="G384">
        <v>476</v>
      </c>
      <c r="H384">
        <v>69</v>
      </c>
      <c r="I384">
        <v>16712</v>
      </c>
      <c r="J384">
        <v>16309</v>
      </c>
      <c r="K384">
        <v>64</v>
      </c>
      <c r="L384" t="s">
        <v>18</v>
      </c>
      <c r="M384" t="s">
        <v>19</v>
      </c>
      <c r="N384" s="21">
        <v>0.15761129727142173</v>
      </c>
    </row>
    <row r="385" spans="1:14" x14ac:dyDescent="0.3">
      <c r="A385" t="s">
        <v>483</v>
      </c>
      <c r="B385" t="s">
        <v>14</v>
      </c>
      <c r="C385" s="11">
        <v>45507</v>
      </c>
      <c r="D385" t="s">
        <v>16</v>
      </c>
      <c r="E385" t="s">
        <v>17</v>
      </c>
      <c r="F385">
        <v>3791</v>
      </c>
      <c r="G385">
        <v>593</v>
      </c>
      <c r="H385">
        <v>228</v>
      </c>
      <c r="I385">
        <v>53074</v>
      </c>
      <c r="J385">
        <v>52613</v>
      </c>
      <c r="K385">
        <v>205</v>
      </c>
      <c r="L385" t="s">
        <v>58</v>
      </c>
      <c r="M385" t="s">
        <v>19</v>
      </c>
      <c r="N385" s="21">
        <v>8.6897539284772202E-2</v>
      </c>
    </row>
    <row r="386" spans="1:14" x14ac:dyDescent="0.3">
      <c r="A386" t="s">
        <v>483</v>
      </c>
      <c r="B386" t="s">
        <v>14</v>
      </c>
      <c r="C386" s="11">
        <v>45507</v>
      </c>
      <c r="D386" t="s">
        <v>16</v>
      </c>
      <c r="E386" t="s">
        <v>17</v>
      </c>
      <c r="F386">
        <v>3791</v>
      </c>
      <c r="G386">
        <v>593</v>
      </c>
      <c r="H386">
        <v>228</v>
      </c>
      <c r="I386">
        <v>53074</v>
      </c>
      <c r="J386">
        <v>52613</v>
      </c>
      <c r="K386">
        <v>205</v>
      </c>
      <c r="L386" t="s">
        <v>77</v>
      </c>
      <c r="M386" t="s">
        <v>19</v>
      </c>
      <c r="N386" s="21">
        <v>8.6897539284772202E-2</v>
      </c>
    </row>
    <row r="387" spans="1:14" x14ac:dyDescent="0.3">
      <c r="A387" t="s">
        <v>485</v>
      </c>
      <c r="B387" t="s">
        <v>14</v>
      </c>
      <c r="C387" s="11">
        <v>45671</v>
      </c>
      <c r="D387" t="s">
        <v>49</v>
      </c>
      <c r="E387" t="s">
        <v>50</v>
      </c>
      <c r="F387">
        <v>2692</v>
      </c>
      <c r="G387">
        <v>115</v>
      </c>
      <c r="H387">
        <v>64</v>
      </c>
      <c r="I387">
        <v>21536</v>
      </c>
      <c r="J387">
        <v>21120</v>
      </c>
      <c r="K387">
        <v>224</v>
      </c>
      <c r="L387" t="s">
        <v>77</v>
      </c>
      <c r="M387" t="s">
        <v>55</v>
      </c>
      <c r="N387" s="21">
        <v>0.13331166419019316</v>
      </c>
    </row>
    <row r="388" spans="1:14" x14ac:dyDescent="0.3">
      <c r="A388" t="s">
        <v>485</v>
      </c>
      <c r="B388" t="s">
        <v>14</v>
      </c>
      <c r="C388" s="11">
        <v>45671</v>
      </c>
      <c r="D388" t="s">
        <v>49</v>
      </c>
      <c r="E388" t="s">
        <v>50</v>
      </c>
      <c r="F388">
        <v>2692</v>
      </c>
      <c r="G388">
        <v>115</v>
      </c>
      <c r="H388">
        <v>64</v>
      </c>
      <c r="I388">
        <v>21536</v>
      </c>
      <c r="J388">
        <v>21120</v>
      </c>
      <c r="K388">
        <v>224</v>
      </c>
      <c r="L388" t="s">
        <v>44</v>
      </c>
      <c r="M388" t="s">
        <v>55</v>
      </c>
      <c r="N388" s="21">
        <v>0.13331166419019316</v>
      </c>
    </row>
    <row r="389" spans="1:14" x14ac:dyDescent="0.3">
      <c r="A389" t="s">
        <v>487</v>
      </c>
      <c r="B389" t="s">
        <v>40</v>
      </c>
      <c r="C389" s="11">
        <v>45750</v>
      </c>
      <c r="D389" t="s">
        <v>33</v>
      </c>
      <c r="E389" t="s">
        <v>34</v>
      </c>
      <c r="F389">
        <v>3767</v>
      </c>
      <c r="G389">
        <v>514</v>
      </c>
      <c r="H389">
        <v>238</v>
      </c>
      <c r="I389">
        <v>37670</v>
      </c>
      <c r="J389">
        <v>36807</v>
      </c>
      <c r="K389">
        <v>226</v>
      </c>
      <c r="L389" t="s">
        <v>58</v>
      </c>
      <c r="M389" t="s">
        <v>19</v>
      </c>
      <c r="N389" s="21">
        <v>0.11996283514733209</v>
      </c>
    </row>
    <row r="390" spans="1:14" x14ac:dyDescent="0.3">
      <c r="A390" t="s">
        <v>487</v>
      </c>
      <c r="B390" t="s">
        <v>40</v>
      </c>
      <c r="C390" s="11">
        <v>45750</v>
      </c>
      <c r="D390" t="s">
        <v>33</v>
      </c>
      <c r="E390" t="s">
        <v>34</v>
      </c>
      <c r="F390">
        <v>3767</v>
      </c>
      <c r="G390">
        <v>514</v>
      </c>
      <c r="H390">
        <v>238</v>
      </c>
      <c r="I390">
        <v>37670</v>
      </c>
      <c r="J390">
        <v>36807</v>
      </c>
      <c r="K390">
        <v>226</v>
      </c>
      <c r="L390" t="s">
        <v>77</v>
      </c>
      <c r="M390" t="s">
        <v>19</v>
      </c>
      <c r="N390" s="21">
        <v>0.11996283514733209</v>
      </c>
    </row>
    <row r="391" spans="1:14" x14ac:dyDescent="0.3">
      <c r="A391" t="s">
        <v>488</v>
      </c>
      <c r="B391" t="s">
        <v>27</v>
      </c>
      <c r="C391" s="11">
        <v>45553</v>
      </c>
      <c r="D391" t="s">
        <v>42</v>
      </c>
      <c r="E391" t="s">
        <v>43</v>
      </c>
      <c r="F391">
        <v>2143</v>
      </c>
      <c r="G391">
        <v>12</v>
      </c>
      <c r="H391">
        <v>204</v>
      </c>
      <c r="I391">
        <v>40717</v>
      </c>
      <c r="J391">
        <v>40125</v>
      </c>
      <c r="K391">
        <v>248</v>
      </c>
      <c r="L391" t="s">
        <v>77</v>
      </c>
      <c r="M391" t="s">
        <v>55</v>
      </c>
      <c r="N391" s="21">
        <v>5.7936488444630008E-2</v>
      </c>
    </row>
    <row r="392" spans="1:14" x14ac:dyDescent="0.3">
      <c r="A392" t="s">
        <v>488</v>
      </c>
      <c r="B392" t="s">
        <v>27</v>
      </c>
      <c r="C392" s="11">
        <v>45553</v>
      </c>
      <c r="D392" t="s">
        <v>42</v>
      </c>
      <c r="E392" t="s">
        <v>43</v>
      </c>
      <c r="F392">
        <v>2143</v>
      </c>
      <c r="G392">
        <v>12</v>
      </c>
      <c r="H392">
        <v>204</v>
      </c>
      <c r="I392">
        <v>40717</v>
      </c>
      <c r="J392">
        <v>40125</v>
      </c>
      <c r="K392">
        <v>248</v>
      </c>
      <c r="L392" t="s">
        <v>18</v>
      </c>
      <c r="M392" t="s">
        <v>55</v>
      </c>
      <c r="N392" s="21">
        <v>5.7936488444630008E-2</v>
      </c>
    </row>
    <row r="393" spans="1:14" x14ac:dyDescent="0.3">
      <c r="A393" t="s">
        <v>489</v>
      </c>
      <c r="B393" t="s">
        <v>40</v>
      </c>
      <c r="C393" s="11">
        <v>45753</v>
      </c>
      <c r="D393" t="s">
        <v>49</v>
      </c>
      <c r="E393" t="s">
        <v>50</v>
      </c>
      <c r="F393">
        <v>3090</v>
      </c>
      <c r="G393">
        <v>697</v>
      </c>
      <c r="H393">
        <v>164</v>
      </c>
      <c r="I393">
        <v>49440</v>
      </c>
      <c r="J393">
        <v>48524</v>
      </c>
      <c r="K393">
        <v>25</v>
      </c>
      <c r="L393" t="s">
        <v>77</v>
      </c>
      <c r="M393" t="s">
        <v>55</v>
      </c>
      <c r="N393" s="21">
        <v>7.9915048543689318E-2</v>
      </c>
    </row>
    <row r="394" spans="1:14" x14ac:dyDescent="0.3">
      <c r="A394" t="s">
        <v>489</v>
      </c>
      <c r="B394" t="s">
        <v>40</v>
      </c>
      <c r="C394" s="11">
        <v>45753</v>
      </c>
      <c r="D394" t="s">
        <v>49</v>
      </c>
      <c r="E394" t="s">
        <v>50</v>
      </c>
      <c r="F394">
        <v>3090</v>
      </c>
      <c r="G394">
        <v>697</v>
      </c>
      <c r="H394">
        <v>164</v>
      </c>
      <c r="I394">
        <v>49440</v>
      </c>
      <c r="J394">
        <v>48524</v>
      </c>
      <c r="K394">
        <v>25</v>
      </c>
      <c r="L394" t="s">
        <v>58</v>
      </c>
      <c r="M394" t="s">
        <v>55</v>
      </c>
      <c r="N394" s="21">
        <v>7.9915048543689318E-2</v>
      </c>
    </row>
    <row r="395" spans="1:14" x14ac:dyDescent="0.3">
      <c r="A395" t="s">
        <v>490</v>
      </c>
      <c r="B395" t="s">
        <v>31</v>
      </c>
      <c r="C395" s="11">
        <v>45509</v>
      </c>
      <c r="D395" t="s">
        <v>33</v>
      </c>
      <c r="E395" t="s">
        <v>34</v>
      </c>
      <c r="F395">
        <v>3601</v>
      </c>
      <c r="G395">
        <v>695</v>
      </c>
      <c r="H395">
        <v>75</v>
      </c>
      <c r="I395">
        <v>21606</v>
      </c>
      <c r="J395">
        <v>21454</v>
      </c>
      <c r="K395">
        <v>172</v>
      </c>
      <c r="L395" t="s">
        <v>58</v>
      </c>
      <c r="M395" t="s">
        <v>25</v>
      </c>
      <c r="N395" s="21">
        <v>0.2023049153013052</v>
      </c>
    </row>
    <row r="396" spans="1:14" x14ac:dyDescent="0.3">
      <c r="A396" t="s">
        <v>492</v>
      </c>
      <c r="B396" t="s">
        <v>40</v>
      </c>
      <c r="C396" s="11">
        <v>45698</v>
      </c>
      <c r="D396" t="s">
        <v>22</v>
      </c>
      <c r="E396" t="s">
        <v>23</v>
      </c>
      <c r="F396">
        <v>562</v>
      </c>
      <c r="G396">
        <v>158</v>
      </c>
      <c r="H396">
        <v>149</v>
      </c>
      <c r="I396">
        <v>3372</v>
      </c>
      <c r="J396">
        <v>2940</v>
      </c>
      <c r="K396">
        <v>93</v>
      </c>
      <c r="L396" t="s">
        <v>77</v>
      </c>
      <c r="M396" t="s">
        <v>55</v>
      </c>
      <c r="N396" s="21">
        <v>0.25771055753262156</v>
      </c>
    </row>
    <row r="397" spans="1:14" x14ac:dyDescent="0.3">
      <c r="A397" t="s">
        <v>492</v>
      </c>
      <c r="B397" t="s">
        <v>40</v>
      </c>
      <c r="C397" s="11">
        <v>45698</v>
      </c>
      <c r="D397" t="s">
        <v>22</v>
      </c>
      <c r="E397" t="s">
        <v>23</v>
      </c>
      <c r="F397">
        <v>562</v>
      </c>
      <c r="G397">
        <v>158</v>
      </c>
      <c r="H397">
        <v>149</v>
      </c>
      <c r="I397">
        <v>3372</v>
      </c>
      <c r="J397">
        <v>2940</v>
      </c>
      <c r="K397">
        <v>93</v>
      </c>
      <c r="L397" t="s">
        <v>18</v>
      </c>
      <c r="M397" t="s">
        <v>55</v>
      </c>
      <c r="N397" s="21">
        <v>0.25771055753262156</v>
      </c>
    </row>
    <row r="398" spans="1:14" x14ac:dyDescent="0.3">
      <c r="A398" t="s">
        <v>493</v>
      </c>
      <c r="B398" t="s">
        <v>31</v>
      </c>
      <c r="C398" s="11">
        <v>45700</v>
      </c>
      <c r="D398" t="s">
        <v>33</v>
      </c>
      <c r="E398" t="s">
        <v>34</v>
      </c>
      <c r="F398">
        <v>4332</v>
      </c>
      <c r="G398">
        <v>771</v>
      </c>
      <c r="H398">
        <v>219</v>
      </c>
      <c r="I398">
        <v>60648</v>
      </c>
      <c r="J398">
        <v>60397</v>
      </c>
      <c r="K398">
        <v>10</v>
      </c>
      <c r="L398" t="s">
        <v>24</v>
      </c>
      <c r="M398" t="s">
        <v>38</v>
      </c>
      <c r="N398" s="21">
        <v>8.7752275425405618E-2</v>
      </c>
    </row>
    <row r="399" spans="1:14" x14ac:dyDescent="0.3">
      <c r="A399" t="s">
        <v>495</v>
      </c>
      <c r="B399" t="s">
        <v>31</v>
      </c>
      <c r="C399" s="11">
        <v>45592</v>
      </c>
      <c r="D399" t="s">
        <v>49</v>
      </c>
      <c r="E399" t="s">
        <v>50</v>
      </c>
      <c r="F399">
        <v>4853</v>
      </c>
      <c r="G399">
        <v>837</v>
      </c>
      <c r="H399">
        <v>340</v>
      </c>
      <c r="I399">
        <v>72795</v>
      </c>
      <c r="J399">
        <v>72237</v>
      </c>
      <c r="K399">
        <v>170</v>
      </c>
      <c r="L399" t="s">
        <v>18</v>
      </c>
      <c r="M399" t="s">
        <v>25</v>
      </c>
      <c r="N399" s="21">
        <v>8.2835359571399134E-2</v>
      </c>
    </row>
    <row r="400" spans="1:14" x14ac:dyDescent="0.3">
      <c r="A400" t="s">
        <v>497</v>
      </c>
      <c r="B400" t="s">
        <v>27</v>
      </c>
      <c r="C400" s="11">
        <v>45675</v>
      </c>
      <c r="D400" t="s">
        <v>49</v>
      </c>
      <c r="E400" t="s">
        <v>50</v>
      </c>
      <c r="F400">
        <v>1206</v>
      </c>
      <c r="G400">
        <v>238</v>
      </c>
      <c r="H400">
        <v>36</v>
      </c>
      <c r="I400">
        <v>9648</v>
      </c>
      <c r="J400">
        <v>9417</v>
      </c>
      <c r="K400">
        <v>237</v>
      </c>
      <c r="L400" t="s">
        <v>18</v>
      </c>
      <c r="M400" t="s">
        <v>38</v>
      </c>
      <c r="N400" s="21">
        <v>0.15339966832504145</v>
      </c>
    </row>
    <row r="401" spans="1:14" x14ac:dyDescent="0.3">
      <c r="A401" t="s">
        <v>497</v>
      </c>
      <c r="B401" t="s">
        <v>27</v>
      </c>
      <c r="C401" s="11">
        <v>45675</v>
      </c>
      <c r="D401" t="s">
        <v>49</v>
      </c>
      <c r="E401" t="s">
        <v>50</v>
      </c>
      <c r="F401">
        <v>1206</v>
      </c>
      <c r="G401">
        <v>238</v>
      </c>
      <c r="H401">
        <v>36</v>
      </c>
      <c r="I401">
        <v>9648</v>
      </c>
      <c r="J401">
        <v>9417</v>
      </c>
      <c r="K401">
        <v>237</v>
      </c>
      <c r="L401" t="s">
        <v>58</v>
      </c>
      <c r="M401" t="s">
        <v>38</v>
      </c>
      <c r="N401" s="21">
        <v>0.15339966832504145</v>
      </c>
    </row>
    <row r="402" spans="1:14" x14ac:dyDescent="0.3">
      <c r="A402" t="s">
        <v>498</v>
      </c>
      <c r="B402" t="s">
        <v>31</v>
      </c>
      <c r="C402" s="11">
        <v>45524</v>
      </c>
      <c r="D402" t="s">
        <v>16</v>
      </c>
      <c r="E402" t="s">
        <v>17</v>
      </c>
      <c r="F402">
        <v>2603</v>
      </c>
      <c r="G402">
        <v>690</v>
      </c>
      <c r="H402">
        <v>205</v>
      </c>
      <c r="I402">
        <v>13015</v>
      </c>
      <c r="J402">
        <v>12130</v>
      </c>
      <c r="K402">
        <v>20</v>
      </c>
      <c r="L402" t="s">
        <v>44</v>
      </c>
      <c r="M402" t="s">
        <v>19</v>
      </c>
      <c r="N402" s="21">
        <v>0.26876680752977333</v>
      </c>
    </row>
    <row r="403" spans="1:14" x14ac:dyDescent="0.3">
      <c r="A403" t="s">
        <v>500</v>
      </c>
      <c r="B403" t="s">
        <v>14</v>
      </c>
      <c r="C403" s="11">
        <v>45687</v>
      </c>
      <c r="D403" t="s">
        <v>49</v>
      </c>
      <c r="E403" t="s">
        <v>50</v>
      </c>
      <c r="F403">
        <v>59</v>
      </c>
      <c r="G403">
        <v>163</v>
      </c>
      <c r="H403">
        <v>93</v>
      </c>
      <c r="I403">
        <v>590</v>
      </c>
      <c r="J403">
        <v>475</v>
      </c>
      <c r="K403">
        <v>293</v>
      </c>
      <c r="L403" t="s">
        <v>44</v>
      </c>
      <c r="M403" t="s">
        <v>55</v>
      </c>
      <c r="N403" s="21">
        <v>0.53389830508474578</v>
      </c>
    </row>
    <row r="404" spans="1:14" x14ac:dyDescent="0.3">
      <c r="A404" t="s">
        <v>502</v>
      </c>
      <c r="B404" t="s">
        <v>14</v>
      </c>
      <c r="C404" s="11">
        <v>45708</v>
      </c>
      <c r="D404" t="s">
        <v>42</v>
      </c>
      <c r="E404" t="s">
        <v>43</v>
      </c>
      <c r="F404">
        <v>1877</v>
      </c>
      <c r="G404">
        <v>745</v>
      </c>
      <c r="H404">
        <v>225</v>
      </c>
      <c r="I404">
        <v>11262</v>
      </c>
      <c r="J404">
        <v>10967</v>
      </c>
      <c r="K404">
        <v>41</v>
      </c>
      <c r="L404" t="s">
        <v>58</v>
      </c>
      <c r="M404" t="s">
        <v>19</v>
      </c>
      <c r="N404" s="21">
        <v>0.25279701651571657</v>
      </c>
    </row>
    <row r="405" spans="1:14" x14ac:dyDescent="0.3">
      <c r="A405" t="s">
        <v>502</v>
      </c>
      <c r="B405" t="s">
        <v>14</v>
      </c>
      <c r="C405" s="11">
        <v>45708</v>
      </c>
      <c r="D405" t="s">
        <v>42</v>
      </c>
      <c r="E405" t="s">
        <v>43</v>
      </c>
      <c r="F405">
        <v>1877</v>
      </c>
      <c r="G405">
        <v>745</v>
      </c>
      <c r="H405">
        <v>225</v>
      </c>
      <c r="I405">
        <v>11262</v>
      </c>
      <c r="J405">
        <v>10967</v>
      </c>
      <c r="K405">
        <v>41</v>
      </c>
      <c r="L405" t="s">
        <v>18</v>
      </c>
      <c r="M405" t="s">
        <v>19</v>
      </c>
      <c r="N405" s="21">
        <v>0.25279701651571657</v>
      </c>
    </row>
    <row r="406" spans="1:14" x14ac:dyDescent="0.3">
      <c r="A406" t="s">
        <v>504</v>
      </c>
      <c r="B406" t="s">
        <v>40</v>
      </c>
      <c r="C406" s="11">
        <v>45621</v>
      </c>
      <c r="D406" t="s">
        <v>33</v>
      </c>
      <c r="E406" t="s">
        <v>34</v>
      </c>
      <c r="F406">
        <v>4182</v>
      </c>
      <c r="G406">
        <v>640</v>
      </c>
      <c r="H406">
        <v>240</v>
      </c>
      <c r="I406">
        <v>50184</v>
      </c>
      <c r="J406">
        <v>49351</v>
      </c>
      <c r="K406">
        <v>10</v>
      </c>
      <c r="L406" t="s">
        <v>18</v>
      </c>
      <c r="M406" t="s">
        <v>38</v>
      </c>
      <c r="N406" s="21">
        <v>0.10086880280567512</v>
      </c>
    </row>
    <row r="407" spans="1:14" x14ac:dyDescent="0.3">
      <c r="A407" t="s">
        <v>504</v>
      </c>
      <c r="B407" t="s">
        <v>40</v>
      </c>
      <c r="C407" s="11">
        <v>45621</v>
      </c>
      <c r="D407" t="s">
        <v>33</v>
      </c>
      <c r="E407" t="s">
        <v>34</v>
      </c>
      <c r="F407">
        <v>4182</v>
      </c>
      <c r="G407">
        <v>640</v>
      </c>
      <c r="H407">
        <v>240</v>
      </c>
      <c r="I407">
        <v>50184</v>
      </c>
      <c r="J407">
        <v>49351</v>
      </c>
      <c r="K407">
        <v>10</v>
      </c>
      <c r="L407" t="s">
        <v>58</v>
      </c>
      <c r="M407" t="s">
        <v>38</v>
      </c>
      <c r="N407" s="21">
        <v>0.10086880280567512</v>
      </c>
    </row>
    <row r="408" spans="1:14" x14ac:dyDescent="0.3">
      <c r="A408" t="s">
        <v>505</v>
      </c>
      <c r="B408" t="s">
        <v>14</v>
      </c>
      <c r="C408" s="11">
        <v>45569</v>
      </c>
      <c r="D408" t="s">
        <v>16</v>
      </c>
      <c r="E408" t="s">
        <v>17</v>
      </c>
      <c r="F408">
        <v>4187</v>
      </c>
      <c r="G408">
        <v>66</v>
      </c>
      <c r="H408">
        <v>31</v>
      </c>
      <c r="I408">
        <v>66992</v>
      </c>
      <c r="J408">
        <v>66614</v>
      </c>
      <c r="K408">
        <v>62</v>
      </c>
      <c r="L408" t="s">
        <v>58</v>
      </c>
      <c r="M408" t="s">
        <v>55</v>
      </c>
      <c r="N408" s="21">
        <v>6.3947934081681396E-2</v>
      </c>
    </row>
    <row r="409" spans="1:14" x14ac:dyDescent="0.3">
      <c r="A409" t="s">
        <v>506</v>
      </c>
      <c r="B409" t="s">
        <v>31</v>
      </c>
      <c r="C409" s="11">
        <v>45760</v>
      </c>
      <c r="D409" t="s">
        <v>16</v>
      </c>
      <c r="E409" t="s">
        <v>17</v>
      </c>
      <c r="F409">
        <v>4579</v>
      </c>
      <c r="G409">
        <v>125</v>
      </c>
      <c r="H409">
        <v>300</v>
      </c>
      <c r="I409">
        <v>59527</v>
      </c>
      <c r="J409">
        <v>59400</v>
      </c>
      <c r="K409">
        <v>269</v>
      </c>
      <c r="L409" t="s">
        <v>58</v>
      </c>
      <c r="M409" t="s">
        <v>19</v>
      </c>
      <c r="N409" s="21">
        <v>8.4062694239588759E-2</v>
      </c>
    </row>
    <row r="410" spans="1:14" x14ac:dyDescent="0.3">
      <c r="A410" t="s">
        <v>506</v>
      </c>
      <c r="B410" t="s">
        <v>31</v>
      </c>
      <c r="C410" s="11">
        <v>45760</v>
      </c>
      <c r="D410" t="s">
        <v>16</v>
      </c>
      <c r="E410" t="s">
        <v>17</v>
      </c>
      <c r="F410">
        <v>4579</v>
      </c>
      <c r="G410">
        <v>125</v>
      </c>
      <c r="H410">
        <v>300</v>
      </c>
      <c r="I410">
        <v>59527</v>
      </c>
      <c r="J410">
        <v>59400</v>
      </c>
      <c r="K410">
        <v>269</v>
      </c>
      <c r="L410" t="s">
        <v>24</v>
      </c>
      <c r="M410" t="s">
        <v>19</v>
      </c>
      <c r="N410" s="21">
        <v>8.4062694239588759E-2</v>
      </c>
    </row>
    <row r="411" spans="1:14" x14ac:dyDescent="0.3">
      <c r="A411" t="s">
        <v>508</v>
      </c>
      <c r="B411" t="s">
        <v>31</v>
      </c>
      <c r="C411" s="11">
        <v>45601</v>
      </c>
      <c r="D411" t="s">
        <v>69</v>
      </c>
      <c r="E411" t="s">
        <v>70</v>
      </c>
      <c r="F411">
        <v>4561</v>
      </c>
      <c r="G411">
        <v>51</v>
      </c>
      <c r="H411">
        <v>441</v>
      </c>
      <c r="I411">
        <v>22805</v>
      </c>
      <c r="J411">
        <v>21890</v>
      </c>
      <c r="K411">
        <v>45</v>
      </c>
      <c r="L411" t="s">
        <v>58</v>
      </c>
      <c r="M411" t="s">
        <v>25</v>
      </c>
      <c r="N411" s="21">
        <v>0.22157421618066214</v>
      </c>
    </row>
    <row r="412" spans="1:14" x14ac:dyDescent="0.3">
      <c r="A412" t="s">
        <v>510</v>
      </c>
      <c r="B412" t="s">
        <v>27</v>
      </c>
      <c r="C412" s="11">
        <v>45672</v>
      </c>
      <c r="D412" t="s">
        <v>16</v>
      </c>
      <c r="E412" t="s">
        <v>17</v>
      </c>
      <c r="F412">
        <v>3774</v>
      </c>
      <c r="G412">
        <v>239</v>
      </c>
      <c r="H412">
        <v>39</v>
      </c>
      <c r="I412">
        <v>60384</v>
      </c>
      <c r="J412">
        <v>59490</v>
      </c>
      <c r="K412">
        <v>241</v>
      </c>
      <c r="L412" t="s">
        <v>77</v>
      </c>
      <c r="M412" t="s">
        <v>38</v>
      </c>
      <c r="N412" s="21">
        <v>6.7103868574456813E-2</v>
      </c>
    </row>
    <row r="413" spans="1:14" x14ac:dyDescent="0.3">
      <c r="A413" t="s">
        <v>511</v>
      </c>
      <c r="B413" t="s">
        <v>31</v>
      </c>
      <c r="C413" s="11">
        <v>45582</v>
      </c>
      <c r="D413" t="s">
        <v>69</v>
      </c>
      <c r="E413" t="s">
        <v>70</v>
      </c>
      <c r="F413">
        <v>3575</v>
      </c>
      <c r="G413">
        <v>749</v>
      </c>
      <c r="H413">
        <v>111</v>
      </c>
      <c r="I413">
        <v>21450</v>
      </c>
      <c r="J413">
        <v>20785</v>
      </c>
      <c r="K413">
        <v>195</v>
      </c>
      <c r="L413" t="s">
        <v>77</v>
      </c>
      <c r="M413" t="s">
        <v>38</v>
      </c>
      <c r="N413" s="21">
        <v>0.20675990675990677</v>
      </c>
    </row>
    <row r="414" spans="1:14" x14ac:dyDescent="0.3">
      <c r="A414" t="s">
        <v>513</v>
      </c>
      <c r="B414" t="s">
        <v>31</v>
      </c>
      <c r="C414" s="11">
        <v>45743</v>
      </c>
      <c r="D414" t="s">
        <v>22</v>
      </c>
      <c r="E414" t="s">
        <v>23</v>
      </c>
      <c r="F414">
        <v>4941</v>
      </c>
      <c r="G414">
        <v>414</v>
      </c>
      <c r="H414">
        <v>266</v>
      </c>
      <c r="I414">
        <v>39528</v>
      </c>
      <c r="J414">
        <v>39154</v>
      </c>
      <c r="K414">
        <v>217</v>
      </c>
      <c r="L414" t="s">
        <v>18</v>
      </c>
      <c r="M414" t="s">
        <v>25</v>
      </c>
      <c r="N414" s="21">
        <v>0.14220299534507186</v>
      </c>
    </row>
    <row r="415" spans="1:14" x14ac:dyDescent="0.3">
      <c r="A415" t="s">
        <v>514</v>
      </c>
      <c r="B415" t="s">
        <v>27</v>
      </c>
      <c r="C415" s="11">
        <v>45577</v>
      </c>
      <c r="D415" t="s">
        <v>33</v>
      </c>
      <c r="E415" t="s">
        <v>34</v>
      </c>
      <c r="F415">
        <v>3641</v>
      </c>
      <c r="G415">
        <v>226</v>
      </c>
      <c r="H415">
        <v>46</v>
      </c>
      <c r="I415">
        <v>40051</v>
      </c>
      <c r="J415">
        <v>39319</v>
      </c>
      <c r="K415">
        <v>296</v>
      </c>
      <c r="L415" t="s">
        <v>44</v>
      </c>
      <c r="M415" t="s">
        <v>25</v>
      </c>
      <c r="N415" s="21">
        <v>9.7700431949264685E-2</v>
      </c>
    </row>
    <row r="416" spans="1:14" x14ac:dyDescent="0.3">
      <c r="A416" t="s">
        <v>516</v>
      </c>
      <c r="B416" t="s">
        <v>14</v>
      </c>
      <c r="C416" s="11">
        <v>45658</v>
      </c>
      <c r="D416" t="s">
        <v>42</v>
      </c>
      <c r="E416" t="s">
        <v>43</v>
      </c>
      <c r="F416">
        <v>3535</v>
      </c>
      <c r="G416">
        <v>494</v>
      </c>
      <c r="H416">
        <v>152</v>
      </c>
      <c r="I416">
        <v>53025</v>
      </c>
      <c r="J416">
        <v>52791</v>
      </c>
      <c r="K416">
        <v>44</v>
      </c>
      <c r="L416" t="s">
        <v>44</v>
      </c>
      <c r="M416" t="s">
        <v>25</v>
      </c>
      <c r="N416" s="21">
        <v>7.8849599245638849E-2</v>
      </c>
    </row>
    <row r="417" spans="1:14" x14ac:dyDescent="0.3">
      <c r="A417" t="s">
        <v>516</v>
      </c>
      <c r="B417" t="s">
        <v>14</v>
      </c>
      <c r="C417" s="11">
        <v>45658</v>
      </c>
      <c r="D417" t="s">
        <v>42</v>
      </c>
      <c r="E417" t="s">
        <v>43</v>
      </c>
      <c r="F417">
        <v>3535</v>
      </c>
      <c r="G417">
        <v>494</v>
      </c>
      <c r="H417">
        <v>152</v>
      </c>
      <c r="I417">
        <v>53025</v>
      </c>
      <c r="J417">
        <v>52791</v>
      </c>
      <c r="K417">
        <v>44</v>
      </c>
      <c r="L417" t="s">
        <v>58</v>
      </c>
      <c r="M417" t="s">
        <v>25</v>
      </c>
      <c r="N417" s="21">
        <v>7.8849599245638849E-2</v>
      </c>
    </row>
    <row r="418" spans="1:14" x14ac:dyDescent="0.3">
      <c r="A418" t="s">
        <v>517</v>
      </c>
      <c r="B418" t="s">
        <v>40</v>
      </c>
      <c r="C418" s="11">
        <v>45509</v>
      </c>
      <c r="D418" t="s">
        <v>16</v>
      </c>
      <c r="E418" t="s">
        <v>17</v>
      </c>
      <c r="F418">
        <v>1741</v>
      </c>
      <c r="G418">
        <v>831</v>
      </c>
      <c r="H418">
        <v>345</v>
      </c>
      <c r="I418">
        <v>17410</v>
      </c>
      <c r="J418">
        <v>16844</v>
      </c>
      <c r="K418">
        <v>58</v>
      </c>
      <c r="L418" t="s">
        <v>24</v>
      </c>
      <c r="M418" t="s">
        <v>55</v>
      </c>
      <c r="N418" s="21">
        <v>0.16754738655944859</v>
      </c>
    </row>
    <row r="419" spans="1:14" x14ac:dyDescent="0.3">
      <c r="A419" t="s">
        <v>517</v>
      </c>
      <c r="B419" t="s">
        <v>40</v>
      </c>
      <c r="C419" s="11">
        <v>45509</v>
      </c>
      <c r="D419" t="s">
        <v>16</v>
      </c>
      <c r="E419" t="s">
        <v>17</v>
      </c>
      <c r="F419">
        <v>1741</v>
      </c>
      <c r="G419">
        <v>831</v>
      </c>
      <c r="H419">
        <v>345</v>
      </c>
      <c r="I419">
        <v>17410</v>
      </c>
      <c r="J419">
        <v>16844</v>
      </c>
      <c r="K419">
        <v>58</v>
      </c>
      <c r="L419" t="s">
        <v>77</v>
      </c>
      <c r="M419" t="s">
        <v>55</v>
      </c>
      <c r="N419" s="21">
        <v>0.16754738655944859</v>
      </c>
    </row>
    <row r="420" spans="1:14" x14ac:dyDescent="0.3">
      <c r="A420" t="s">
        <v>518</v>
      </c>
      <c r="B420" t="s">
        <v>14</v>
      </c>
      <c r="C420" s="11">
        <v>45450</v>
      </c>
      <c r="D420" t="s">
        <v>42</v>
      </c>
      <c r="E420" t="s">
        <v>43</v>
      </c>
      <c r="F420">
        <v>1556</v>
      </c>
      <c r="G420">
        <v>195</v>
      </c>
      <c r="H420">
        <v>131</v>
      </c>
      <c r="I420">
        <v>9336</v>
      </c>
      <c r="J420">
        <v>8875</v>
      </c>
      <c r="K420">
        <v>137</v>
      </c>
      <c r="L420" t="s">
        <v>24</v>
      </c>
      <c r="M420" t="s">
        <v>25</v>
      </c>
      <c r="N420" s="21">
        <v>0.2015852613538989</v>
      </c>
    </row>
    <row r="421" spans="1:14" x14ac:dyDescent="0.3">
      <c r="A421" t="s">
        <v>520</v>
      </c>
      <c r="B421" t="s">
        <v>40</v>
      </c>
      <c r="C421" s="11">
        <v>45753</v>
      </c>
      <c r="D421" t="s">
        <v>49</v>
      </c>
      <c r="E421" t="s">
        <v>50</v>
      </c>
      <c r="F421">
        <v>4236</v>
      </c>
      <c r="G421">
        <v>711</v>
      </c>
      <c r="H421">
        <v>298</v>
      </c>
      <c r="I421">
        <v>21180</v>
      </c>
      <c r="J421">
        <v>20516</v>
      </c>
      <c r="K421">
        <v>238</v>
      </c>
      <c r="L421" t="s">
        <v>44</v>
      </c>
      <c r="M421" t="s">
        <v>55</v>
      </c>
      <c r="N421" s="21">
        <v>0.24763928234183191</v>
      </c>
    </row>
    <row r="422" spans="1:14" x14ac:dyDescent="0.3">
      <c r="A422" t="s">
        <v>520</v>
      </c>
      <c r="B422" t="s">
        <v>40</v>
      </c>
      <c r="C422" s="11">
        <v>45753</v>
      </c>
      <c r="D422" t="s">
        <v>49</v>
      </c>
      <c r="E422" t="s">
        <v>50</v>
      </c>
      <c r="F422">
        <v>4236</v>
      </c>
      <c r="G422">
        <v>711</v>
      </c>
      <c r="H422">
        <v>298</v>
      </c>
      <c r="I422">
        <v>21180</v>
      </c>
      <c r="J422">
        <v>20516</v>
      </c>
      <c r="K422">
        <v>238</v>
      </c>
      <c r="L422" t="s">
        <v>18</v>
      </c>
      <c r="M422" t="s">
        <v>55</v>
      </c>
      <c r="N422" s="21">
        <v>0.24763928234183191</v>
      </c>
    </row>
    <row r="423" spans="1:14" x14ac:dyDescent="0.3">
      <c r="A423" t="s">
        <v>521</v>
      </c>
      <c r="B423" t="s">
        <v>14</v>
      </c>
      <c r="C423" s="11">
        <v>45622</v>
      </c>
      <c r="D423" t="s">
        <v>22</v>
      </c>
      <c r="E423" t="s">
        <v>23</v>
      </c>
      <c r="F423">
        <v>4516</v>
      </c>
      <c r="G423">
        <v>836</v>
      </c>
      <c r="H423">
        <v>169</v>
      </c>
      <c r="I423">
        <v>49676</v>
      </c>
      <c r="J423">
        <v>49257</v>
      </c>
      <c r="K423">
        <v>282</v>
      </c>
      <c r="L423" t="s">
        <v>44</v>
      </c>
      <c r="M423" t="s">
        <v>19</v>
      </c>
      <c r="N423" s="21">
        <v>0.11114018842096787</v>
      </c>
    </row>
    <row r="424" spans="1:14" x14ac:dyDescent="0.3">
      <c r="A424" t="s">
        <v>523</v>
      </c>
      <c r="B424" t="s">
        <v>27</v>
      </c>
      <c r="C424" s="11">
        <v>45537</v>
      </c>
      <c r="D424" t="s">
        <v>49</v>
      </c>
      <c r="E424" t="s">
        <v>50</v>
      </c>
      <c r="F424">
        <v>4905</v>
      </c>
      <c r="G424">
        <v>845</v>
      </c>
      <c r="H424">
        <v>129</v>
      </c>
      <c r="I424">
        <v>98100</v>
      </c>
      <c r="J424">
        <v>97772</v>
      </c>
      <c r="K424">
        <v>279</v>
      </c>
      <c r="L424" t="s">
        <v>44</v>
      </c>
      <c r="M424" t="s">
        <v>55</v>
      </c>
      <c r="N424" s="21">
        <v>5.9928644240570844E-2</v>
      </c>
    </row>
    <row r="425" spans="1:14" x14ac:dyDescent="0.3">
      <c r="A425" t="s">
        <v>524</v>
      </c>
      <c r="B425" t="s">
        <v>27</v>
      </c>
      <c r="C425" s="11">
        <v>45586</v>
      </c>
      <c r="D425" t="s">
        <v>69</v>
      </c>
      <c r="E425" t="s">
        <v>70</v>
      </c>
      <c r="F425">
        <v>4275</v>
      </c>
      <c r="G425">
        <v>680</v>
      </c>
      <c r="H425">
        <v>385</v>
      </c>
      <c r="I425">
        <v>64125</v>
      </c>
      <c r="J425">
        <v>63650</v>
      </c>
      <c r="K425">
        <v>104</v>
      </c>
      <c r="L425" t="s">
        <v>58</v>
      </c>
      <c r="M425" t="s">
        <v>55</v>
      </c>
      <c r="N425" s="21">
        <v>8.3274853801169585E-2</v>
      </c>
    </row>
    <row r="426" spans="1:14" x14ac:dyDescent="0.3">
      <c r="A426" t="s">
        <v>525</v>
      </c>
      <c r="B426" t="s">
        <v>27</v>
      </c>
      <c r="C426" s="11">
        <v>45738</v>
      </c>
      <c r="D426" t="s">
        <v>49</v>
      </c>
      <c r="E426" t="s">
        <v>50</v>
      </c>
      <c r="F426">
        <v>3166</v>
      </c>
      <c r="G426">
        <v>90</v>
      </c>
      <c r="H426">
        <v>341</v>
      </c>
      <c r="I426">
        <v>56988</v>
      </c>
      <c r="J426">
        <v>56125</v>
      </c>
      <c r="K426">
        <v>135</v>
      </c>
      <c r="L426" t="s">
        <v>24</v>
      </c>
      <c r="M426" t="s">
        <v>25</v>
      </c>
      <c r="N426" s="21">
        <v>6.3118551273952411E-2</v>
      </c>
    </row>
    <row r="427" spans="1:14" x14ac:dyDescent="0.3">
      <c r="A427" t="s">
        <v>525</v>
      </c>
      <c r="B427" t="s">
        <v>27</v>
      </c>
      <c r="C427" s="11">
        <v>45738</v>
      </c>
      <c r="D427" t="s">
        <v>49</v>
      </c>
      <c r="E427" t="s">
        <v>50</v>
      </c>
      <c r="F427">
        <v>3166</v>
      </c>
      <c r="G427">
        <v>90</v>
      </c>
      <c r="H427">
        <v>341</v>
      </c>
      <c r="I427">
        <v>56988</v>
      </c>
      <c r="J427">
        <v>56125</v>
      </c>
      <c r="K427">
        <v>135</v>
      </c>
      <c r="L427" t="s">
        <v>58</v>
      </c>
      <c r="M427" t="s">
        <v>25</v>
      </c>
      <c r="N427" s="21">
        <v>6.3118551273952411E-2</v>
      </c>
    </row>
    <row r="428" spans="1:14" x14ac:dyDescent="0.3">
      <c r="A428" t="s">
        <v>527</v>
      </c>
      <c r="B428" t="s">
        <v>31</v>
      </c>
      <c r="C428" s="11">
        <v>45568</v>
      </c>
      <c r="D428" t="s">
        <v>69</v>
      </c>
      <c r="E428" t="s">
        <v>70</v>
      </c>
      <c r="F428">
        <v>1488</v>
      </c>
      <c r="G428">
        <v>417</v>
      </c>
      <c r="H428">
        <v>168</v>
      </c>
      <c r="I428">
        <v>19344</v>
      </c>
      <c r="J428">
        <v>18395</v>
      </c>
      <c r="K428">
        <v>30</v>
      </c>
      <c r="L428" t="s">
        <v>18</v>
      </c>
      <c r="M428" t="s">
        <v>19</v>
      </c>
      <c r="N428" s="21">
        <v>0.1071650124069479</v>
      </c>
    </row>
    <row r="429" spans="1:14" x14ac:dyDescent="0.3">
      <c r="A429" t="s">
        <v>529</v>
      </c>
      <c r="B429" t="s">
        <v>14</v>
      </c>
      <c r="C429" s="11">
        <v>45786</v>
      </c>
      <c r="D429" t="s">
        <v>16</v>
      </c>
      <c r="E429" t="s">
        <v>17</v>
      </c>
      <c r="F429">
        <v>3367</v>
      </c>
      <c r="G429">
        <v>302</v>
      </c>
      <c r="H429">
        <v>57</v>
      </c>
      <c r="I429">
        <v>63973</v>
      </c>
      <c r="J429">
        <v>63789</v>
      </c>
      <c r="K429">
        <v>157</v>
      </c>
      <c r="L429" t="s">
        <v>44</v>
      </c>
      <c r="M429" t="s">
        <v>38</v>
      </c>
      <c r="N429" s="21">
        <v>5.8243321401216137E-2</v>
      </c>
    </row>
    <row r="430" spans="1:14" x14ac:dyDescent="0.3">
      <c r="A430" t="s">
        <v>529</v>
      </c>
      <c r="B430" t="s">
        <v>14</v>
      </c>
      <c r="C430" s="11">
        <v>45786</v>
      </c>
      <c r="D430" t="s">
        <v>16</v>
      </c>
      <c r="E430" t="s">
        <v>17</v>
      </c>
      <c r="F430">
        <v>3367</v>
      </c>
      <c r="G430">
        <v>302</v>
      </c>
      <c r="H430">
        <v>57</v>
      </c>
      <c r="I430">
        <v>63973</v>
      </c>
      <c r="J430">
        <v>63789</v>
      </c>
      <c r="K430">
        <v>157</v>
      </c>
      <c r="L430" t="s">
        <v>24</v>
      </c>
      <c r="M430" t="s">
        <v>38</v>
      </c>
      <c r="N430" s="21">
        <v>5.8243321401216137E-2</v>
      </c>
    </row>
    <row r="431" spans="1:14" x14ac:dyDescent="0.3">
      <c r="A431" t="s">
        <v>531</v>
      </c>
      <c r="B431" t="s">
        <v>14</v>
      </c>
      <c r="C431" s="11">
        <v>45552</v>
      </c>
      <c r="D431" t="s">
        <v>22</v>
      </c>
      <c r="E431" t="s">
        <v>23</v>
      </c>
      <c r="F431">
        <v>571</v>
      </c>
      <c r="G431">
        <v>190</v>
      </c>
      <c r="H431">
        <v>352</v>
      </c>
      <c r="I431">
        <v>9707</v>
      </c>
      <c r="J431">
        <v>9418</v>
      </c>
      <c r="K431">
        <v>231</v>
      </c>
      <c r="L431" t="s">
        <v>77</v>
      </c>
      <c r="M431" t="s">
        <v>25</v>
      </c>
      <c r="N431" s="21">
        <v>0.11465952405480581</v>
      </c>
    </row>
    <row r="432" spans="1:14" x14ac:dyDescent="0.3">
      <c r="A432" t="s">
        <v>532</v>
      </c>
      <c r="B432" t="s">
        <v>27</v>
      </c>
      <c r="C432" s="11">
        <v>45491</v>
      </c>
      <c r="D432" t="s">
        <v>22</v>
      </c>
      <c r="E432" t="s">
        <v>23</v>
      </c>
      <c r="F432">
        <v>4021</v>
      </c>
      <c r="G432">
        <v>794</v>
      </c>
      <c r="H432">
        <v>77</v>
      </c>
      <c r="I432">
        <v>36189</v>
      </c>
      <c r="J432">
        <v>35505</v>
      </c>
      <c r="K432">
        <v>174</v>
      </c>
      <c r="L432" t="s">
        <v>77</v>
      </c>
      <c r="M432" t="s">
        <v>19</v>
      </c>
      <c r="N432" s="21">
        <v>0.13517919809886983</v>
      </c>
    </row>
    <row r="433" spans="1:14" x14ac:dyDescent="0.3">
      <c r="A433" t="s">
        <v>532</v>
      </c>
      <c r="B433" t="s">
        <v>27</v>
      </c>
      <c r="C433" s="11">
        <v>45491</v>
      </c>
      <c r="D433" t="s">
        <v>22</v>
      </c>
      <c r="E433" t="s">
        <v>23</v>
      </c>
      <c r="F433">
        <v>4021</v>
      </c>
      <c r="G433">
        <v>794</v>
      </c>
      <c r="H433">
        <v>77</v>
      </c>
      <c r="I433">
        <v>36189</v>
      </c>
      <c r="J433">
        <v>35505</v>
      </c>
      <c r="K433">
        <v>174</v>
      </c>
      <c r="L433" t="s">
        <v>58</v>
      </c>
      <c r="M433" t="s">
        <v>19</v>
      </c>
      <c r="N433" s="21">
        <v>0.13517919809886983</v>
      </c>
    </row>
    <row r="434" spans="1:14" x14ac:dyDescent="0.3">
      <c r="A434" t="s">
        <v>533</v>
      </c>
      <c r="B434" t="s">
        <v>27</v>
      </c>
      <c r="C434" s="11">
        <v>45560</v>
      </c>
      <c r="D434" t="s">
        <v>69</v>
      </c>
      <c r="E434" t="s">
        <v>70</v>
      </c>
      <c r="F434">
        <v>3389</v>
      </c>
      <c r="G434">
        <v>344</v>
      </c>
      <c r="H434">
        <v>229</v>
      </c>
      <c r="I434">
        <v>20334</v>
      </c>
      <c r="J434">
        <v>19443</v>
      </c>
      <c r="K434">
        <v>228</v>
      </c>
      <c r="L434" t="s">
        <v>24</v>
      </c>
      <c r="M434" t="s">
        <v>25</v>
      </c>
      <c r="N434" s="21">
        <v>0.19484607062063539</v>
      </c>
    </row>
    <row r="435" spans="1:14" x14ac:dyDescent="0.3">
      <c r="A435" t="s">
        <v>533</v>
      </c>
      <c r="B435" t="s">
        <v>27</v>
      </c>
      <c r="C435" s="11">
        <v>45560</v>
      </c>
      <c r="D435" t="s">
        <v>69</v>
      </c>
      <c r="E435" t="s">
        <v>70</v>
      </c>
      <c r="F435">
        <v>3389</v>
      </c>
      <c r="G435">
        <v>344</v>
      </c>
      <c r="H435">
        <v>229</v>
      </c>
      <c r="I435">
        <v>20334</v>
      </c>
      <c r="J435">
        <v>19443</v>
      </c>
      <c r="K435">
        <v>228</v>
      </c>
      <c r="L435" t="s">
        <v>18</v>
      </c>
      <c r="M435" t="s">
        <v>25</v>
      </c>
      <c r="N435" s="21">
        <v>0.19484607062063539</v>
      </c>
    </row>
    <row r="436" spans="1:14" x14ac:dyDescent="0.3">
      <c r="A436" t="s">
        <v>535</v>
      </c>
      <c r="B436" t="s">
        <v>31</v>
      </c>
      <c r="C436" s="11">
        <v>45519</v>
      </c>
      <c r="D436" t="s">
        <v>16</v>
      </c>
      <c r="E436" t="s">
        <v>17</v>
      </c>
      <c r="F436">
        <v>1164</v>
      </c>
      <c r="G436">
        <v>616</v>
      </c>
      <c r="H436">
        <v>324</v>
      </c>
      <c r="I436">
        <v>6984</v>
      </c>
      <c r="J436">
        <v>6636</v>
      </c>
      <c r="K436">
        <v>82</v>
      </c>
      <c r="L436" t="s">
        <v>24</v>
      </c>
      <c r="M436" t="s">
        <v>38</v>
      </c>
      <c r="N436" s="21">
        <v>0.30126002290950743</v>
      </c>
    </row>
    <row r="437" spans="1:14" x14ac:dyDescent="0.3">
      <c r="A437" t="s">
        <v>535</v>
      </c>
      <c r="B437" t="s">
        <v>31</v>
      </c>
      <c r="C437" s="11">
        <v>45519</v>
      </c>
      <c r="D437" t="s">
        <v>16</v>
      </c>
      <c r="E437" t="s">
        <v>17</v>
      </c>
      <c r="F437">
        <v>1164</v>
      </c>
      <c r="G437">
        <v>616</v>
      </c>
      <c r="H437">
        <v>324</v>
      </c>
      <c r="I437">
        <v>6984</v>
      </c>
      <c r="J437">
        <v>6636</v>
      </c>
      <c r="K437">
        <v>82</v>
      </c>
      <c r="L437" t="s">
        <v>44</v>
      </c>
      <c r="M437" t="s">
        <v>38</v>
      </c>
      <c r="N437" s="21">
        <v>0.30126002290950743</v>
      </c>
    </row>
    <row r="438" spans="1:14" x14ac:dyDescent="0.3">
      <c r="A438" t="s">
        <v>536</v>
      </c>
      <c r="B438" t="s">
        <v>27</v>
      </c>
      <c r="C438" s="11">
        <v>45764</v>
      </c>
      <c r="D438" t="s">
        <v>42</v>
      </c>
      <c r="E438" t="s">
        <v>43</v>
      </c>
      <c r="F438">
        <v>4780</v>
      </c>
      <c r="G438">
        <v>691</v>
      </c>
      <c r="H438">
        <v>380</v>
      </c>
      <c r="I438">
        <v>86040</v>
      </c>
      <c r="J438">
        <v>85743</v>
      </c>
      <c r="K438">
        <v>262</v>
      </c>
      <c r="L438" t="s">
        <v>24</v>
      </c>
      <c r="M438" t="s">
        <v>38</v>
      </c>
      <c r="N438" s="21">
        <v>6.800325430032543E-2</v>
      </c>
    </row>
    <row r="439" spans="1:14" x14ac:dyDescent="0.3">
      <c r="A439" t="s">
        <v>536</v>
      </c>
      <c r="B439" t="s">
        <v>27</v>
      </c>
      <c r="C439" s="11">
        <v>45764</v>
      </c>
      <c r="D439" t="s">
        <v>42</v>
      </c>
      <c r="E439" t="s">
        <v>43</v>
      </c>
      <c r="F439">
        <v>4780</v>
      </c>
      <c r="G439">
        <v>691</v>
      </c>
      <c r="H439">
        <v>380</v>
      </c>
      <c r="I439">
        <v>86040</v>
      </c>
      <c r="J439">
        <v>85743</v>
      </c>
      <c r="K439">
        <v>262</v>
      </c>
      <c r="L439" t="s">
        <v>77</v>
      </c>
      <c r="M439" t="s">
        <v>38</v>
      </c>
      <c r="N439" s="21">
        <v>6.800325430032543E-2</v>
      </c>
    </row>
    <row r="440" spans="1:14" x14ac:dyDescent="0.3">
      <c r="A440" t="s">
        <v>538</v>
      </c>
      <c r="B440" t="s">
        <v>40</v>
      </c>
      <c r="C440" s="11">
        <v>45624</v>
      </c>
      <c r="D440" t="s">
        <v>42</v>
      </c>
      <c r="E440" t="s">
        <v>43</v>
      </c>
      <c r="F440">
        <v>2751</v>
      </c>
      <c r="G440">
        <v>33</v>
      </c>
      <c r="H440">
        <v>430</v>
      </c>
      <c r="I440">
        <v>44016</v>
      </c>
      <c r="J440">
        <v>43415</v>
      </c>
      <c r="K440">
        <v>129</v>
      </c>
      <c r="L440" t="s">
        <v>44</v>
      </c>
      <c r="M440" t="s">
        <v>25</v>
      </c>
      <c r="N440" s="21">
        <v>7.3018902217375503E-2</v>
      </c>
    </row>
    <row r="441" spans="1:14" x14ac:dyDescent="0.3">
      <c r="A441" t="s">
        <v>538</v>
      </c>
      <c r="B441" t="s">
        <v>40</v>
      </c>
      <c r="C441" s="11">
        <v>45624</v>
      </c>
      <c r="D441" t="s">
        <v>42</v>
      </c>
      <c r="E441" t="s">
        <v>43</v>
      </c>
      <c r="F441">
        <v>2751</v>
      </c>
      <c r="G441">
        <v>33</v>
      </c>
      <c r="H441">
        <v>430</v>
      </c>
      <c r="I441">
        <v>44016</v>
      </c>
      <c r="J441">
        <v>43415</v>
      </c>
      <c r="K441">
        <v>129</v>
      </c>
      <c r="L441" t="s">
        <v>58</v>
      </c>
      <c r="M441" t="s">
        <v>25</v>
      </c>
      <c r="N441" s="21">
        <v>7.3018902217375503E-2</v>
      </c>
    </row>
    <row r="442" spans="1:14" x14ac:dyDescent="0.3">
      <c r="A442" t="s">
        <v>539</v>
      </c>
      <c r="B442" t="s">
        <v>31</v>
      </c>
      <c r="C442" s="11">
        <v>45646</v>
      </c>
      <c r="D442" t="s">
        <v>42</v>
      </c>
      <c r="E442" t="s">
        <v>43</v>
      </c>
      <c r="F442">
        <v>2107</v>
      </c>
      <c r="G442">
        <v>550</v>
      </c>
      <c r="H442">
        <v>349</v>
      </c>
      <c r="I442">
        <v>35819</v>
      </c>
      <c r="J442">
        <v>35340</v>
      </c>
      <c r="K442">
        <v>191</v>
      </c>
      <c r="L442" t="s">
        <v>44</v>
      </c>
      <c r="M442" t="s">
        <v>38</v>
      </c>
      <c r="N442" s="21">
        <v>8.3921940869371006E-2</v>
      </c>
    </row>
    <row r="443" spans="1:14" x14ac:dyDescent="0.3">
      <c r="A443" t="s">
        <v>541</v>
      </c>
      <c r="B443" t="s">
        <v>40</v>
      </c>
      <c r="C443" s="11">
        <v>45602</v>
      </c>
      <c r="D443" t="s">
        <v>69</v>
      </c>
      <c r="E443" t="s">
        <v>70</v>
      </c>
      <c r="F443">
        <v>4663</v>
      </c>
      <c r="G443">
        <v>145</v>
      </c>
      <c r="H443">
        <v>225</v>
      </c>
      <c r="I443">
        <v>69945</v>
      </c>
      <c r="J443">
        <v>69596</v>
      </c>
      <c r="K443">
        <v>35</v>
      </c>
      <c r="L443" t="s">
        <v>24</v>
      </c>
      <c r="M443" t="s">
        <v>25</v>
      </c>
      <c r="N443" s="21">
        <v>7.1956537279290869E-2</v>
      </c>
    </row>
    <row r="444" spans="1:14" x14ac:dyDescent="0.3">
      <c r="A444" t="s">
        <v>542</v>
      </c>
      <c r="B444" t="s">
        <v>40</v>
      </c>
      <c r="C444" s="11">
        <v>45613</v>
      </c>
      <c r="D444" t="s">
        <v>22</v>
      </c>
      <c r="E444" t="s">
        <v>23</v>
      </c>
      <c r="F444">
        <v>880</v>
      </c>
      <c r="G444">
        <v>297</v>
      </c>
      <c r="H444">
        <v>345</v>
      </c>
      <c r="I444">
        <v>12320</v>
      </c>
      <c r="J444">
        <v>11978</v>
      </c>
      <c r="K444">
        <v>238</v>
      </c>
      <c r="L444" t="s">
        <v>18</v>
      </c>
      <c r="M444" t="s">
        <v>25</v>
      </c>
      <c r="N444" s="21">
        <v>0.12353896103896105</v>
      </c>
    </row>
    <row r="445" spans="1:14" x14ac:dyDescent="0.3">
      <c r="A445" t="s">
        <v>544</v>
      </c>
      <c r="B445" t="s">
        <v>40</v>
      </c>
      <c r="C445" s="11">
        <v>45791</v>
      </c>
      <c r="D445" t="s">
        <v>22</v>
      </c>
      <c r="E445" t="s">
        <v>23</v>
      </c>
      <c r="F445">
        <v>2634</v>
      </c>
      <c r="G445">
        <v>726</v>
      </c>
      <c r="H445">
        <v>241</v>
      </c>
      <c r="I445">
        <v>28974</v>
      </c>
      <c r="J445">
        <v>28102</v>
      </c>
      <c r="K445">
        <v>277</v>
      </c>
      <c r="L445" t="s">
        <v>58</v>
      </c>
      <c r="M445" t="s">
        <v>38</v>
      </c>
      <c r="N445" s="21">
        <v>0.12428384068475185</v>
      </c>
    </row>
    <row r="446" spans="1:14" x14ac:dyDescent="0.3">
      <c r="A446" t="s">
        <v>546</v>
      </c>
      <c r="B446" t="s">
        <v>40</v>
      </c>
      <c r="C446" s="11">
        <v>45462</v>
      </c>
      <c r="D446" t="s">
        <v>42</v>
      </c>
      <c r="E446" t="s">
        <v>43</v>
      </c>
      <c r="F446">
        <v>4731</v>
      </c>
      <c r="G446">
        <v>173</v>
      </c>
      <c r="H446">
        <v>276</v>
      </c>
      <c r="I446">
        <v>28386</v>
      </c>
      <c r="J446">
        <v>28185</v>
      </c>
      <c r="K446">
        <v>89</v>
      </c>
      <c r="L446" t="s">
        <v>44</v>
      </c>
      <c r="M446" t="s">
        <v>55</v>
      </c>
      <c r="N446" s="21">
        <v>0.18248432325794406</v>
      </c>
    </row>
    <row r="447" spans="1:14" x14ac:dyDescent="0.3">
      <c r="A447" t="s">
        <v>546</v>
      </c>
      <c r="B447" t="s">
        <v>40</v>
      </c>
      <c r="C447" s="11">
        <v>45462</v>
      </c>
      <c r="D447" t="s">
        <v>42</v>
      </c>
      <c r="E447" t="s">
        <v>43</v>
      </c>
      <c r="F447">
        <v>4731</v>
      </c>
      <c r="G447">
        <v>173</v>
      </c>
      <c r="H447">
        <v>276</v>
      </c>
      <c r="I447">
        <v>28386</v>
      </c>
      <c r="J447">
        <v>28185</v>
      </c>
      <c r="K447">
        <v>89</v>
      </c>
      <c r="L447" t="s">
        <v>24</v>
      </c>
      <c r="M447" t="s">
        <v>55</v>
      </c>
      <c r="N447" s="21">
        <v>0.18248432325794406</v>
      </c>
    </row>
    <row r="448" spans="1:14" x14ac:dyDescent="0.3">
      <c r="A448" t="s">
        <v>548</v>
      </c>
      <c r="B448" t="s">
        <v>14</v>
      </c>
      <c r="C448" s="11">
        <v>45783</v>
      </c>
      <c r="D448" t="s">
        <v>49</v>
      </c>
      <c r="E448" t="s">
        <v>50</v>
      </c>
      <c r="F448">
        <v>1952</v>
      </c>
      <c r="G448">
        <v>344</v>
      </c>
      <c r="H448">
        <v>287</v>
      </c>
      <c r="I448">
        <v>15616</v>
      </c>
      <c r="J448">
        <v>15403</v>
      </c>
      <c r="K448">
        <v>235</v>
      </c>
      <c r="L448" t="s">
        <v>18</v>
      </c>
      <c r="M448" t="s">
        <v>38</v>
      </c>
      <c r="N448" s="21">
        <v>0.16540727459016394</v>
      </c>
    </row>
    <row r="449" spans="1:14" x14ac:dyDescent="0.3">
      <c r="A449" t="s">
        <v>548</v>
      </c>
      <c r="B449" t="s">
        <v>14</v>
      </c>
      <c r="C449" s="11">
        <v>45783</v>
      </c>
      <c r="D449" t="s">
        <v>49</v>
      </c>
      <c r="E449" t="s">
        <v>50</v>
      </c>
      <c r="F449">
        <v>1952</v>
      </c>
      <c r="G449">
        <v>344</v>
      </c>
      <c r="H449">
        <v>287</v>
      </c>
      <c r="I449">
        <v>15616</v>
      </c>
      <c r="J449">
        <v>15403</v>
      </c>
      <c r="K449">
        <v>235</v>
      </c>
      <c r="L449" t="s">
        <v>24</v>
      </c>
      <c r="M449" t="s">
        <v>38</v>
      </c>
      <c r="N449" s="21">
        <v>0.16540727459016394</v>
      </c>
    </row>
    <row r="450" spans="1:14" x14ac:dyDescent="0.3">
      <c r="A450" t="s">
        <v>549</v>
      </c>
      <c r="B450" t="s">
        <v>14</v>
      </c>
      <c r="C450" s="11">
        <v>45699</v>
      </c>
      <c r="D450" t="s">
        <v>69</v>
      </c>
      <c r="E450" t="s">
        <v>70</v>
      </c>
      <c r="F450">
        <v>3440</v>
      </c>
      <c r="G450">
        <v>13</v>
      </c>
      <c r="H450">
        <v>20</v>
      </c>
      <c r="I450">
        <v>58480</v>
      </c>
      <c r="J450">
        <v>58146</v>
      </c>
      <c r="K450">
        <v>210</v>
      </c>
      <c r="L450" t="s">
        <v>24</v>
      </c>
      <c r="M450" t="s">
        <v>19</v>
      </c>
      <c r="N450" s="21">
        <v>5.9387824897400819E-2</v>
      </c>
    </row>
    <row r="451" spans="1:14" x14ac:dyDescent="0.3">
      <c r="A451" t="s">
        <v>549</v>
      </c>
      <c r="B451" t="s">
        <v>14</v>
      </c>
      <c r="C451" s="11">
        <v>45699</v>
      </c>
      <c r="D451" t="s">
        <v>69</v>
      </c>
      <c r="E451" t="s">
        <v>70</v>
      </c>
      <c r="F451">
        <v>3440</v>
      </c>
      <c r="G451">
        <v>13</v>
      </c>
      <c r="H451">
        <v>20</v>
      </c>
      <c r="I451">
        <v>58480</v>
      </c>
      <c r="J451">
        <v>58146</v>
      </c>
      <c r="K451">
        <v>210</v>
      </c>
      <c r="L451" t="s">
        <v>77</v>
      </c>
      <c r="M451" t="s">
        <v>19</v>
      </c>
      <c r="N451" s="21">
        <v>5.9387824897400819E-2</v>
      </c>
    </row>
    <row r="452" spans="1:14" x14ac:dyDescent="0.3">
      <c r="A452" t="s">
        <v>551</v>
      </c>
      <c r="B452" t="s">
        <v>14</v>
      </c>
      <c r="C452" s="11">
        <v>45650</v>
      </c>
      <c r="D452" t="s">
        <v>22</v>
      </c>
      <c r="E452" t="s">
        <v>23</v>
      </c>
      <c r="F452">
        <v>2166</v>
      </c>
      <c r="G452">
        <v>354</v>
      </c>
      <c r="H452">
        <v>117</v>
      </c>
      <c r="I452">
        <v>10830</v>
      </c>
      <c r="J452">
        <v>10245</v>
      </c>
      <c r="K452">
        <v>24</v>
      </c>
      <c r="L452" t="s">
        <v>58</v>
      </c>
      <c r="M452" t="s">
        <v>19</v>
      </c>
      <c r="N452" s="21">
        <v>0.24349030470914126</v>
      </c>
    </row>
    <row r="453" spans="1:14" x14ac:dyDescent="0.3">
      <c r="A453" t="s">
        <v>551</v>
      </c>
      <c r="B453" t="s">
        <v>14</v>
      </c>
      <c r="C453" s="11">
        <v>45650</v>
      </c>
      <c r="D453" t="s">
        <v>22</v>
      </c>
      <c r="E453" t="s">
        <v>23</v>
      </c>
      <c r="F453">
        <v>2166</v>
      </c>
      <c r="G453">
        <v>354</v>
      </c>
      <c r="H453">
        <v>117</v>
      </c>
      <c r="I453">
        <v>10830</v>
      </c>
      <c r="J453">
        <v>10245</v>
      </c>
      <c r="K453">
        <v>24</v>
      </c>
      <c r="L453" t="s">
        <v>44</v>
      </c>
      <c r="M453" t="s">
        <v>19</v>
      </c>
      <c r="N453" s="21">
        <v>0.24349030470914126</v>
      </c>
    </row>
    <row r="454" spans="1:14" x14ac:dyDescent="0.3">
      <c r="A454" t="s">
        <v>553</v>
      </c>
      <c r="B454" t="s">
        <v>40</v>
      </c>
      <c r="C454" s="11">
        <v>45589</v>
      </c>
      <c r="D454" t="s">
        <v>49</v>
      </c>
      <c r="E454" t="s">
        <v>50</v>
      </c>
      <c r="F454">
        <v>4303</v>
      </c>
      <c r="G454">
        <v>451</v>
      </c>
      <c r="H454">
        <v>286</v>
      </c>
      <c r="I454">
        <v>86060</v>
      </c>
      <c r="J454">
        <v>85823</v>
      </c>
      <c r="K454">
        <v>14</v>
      </c>
      <c r="L454" t="s">
        <v>18</v>
      </c>
      <c r="M454" t="s">
        <v>25</v>
      </c>
      <c r="N454" s="21">
        <v>5.8563792702765516E-2</v>
      </c>
    </row>
    <row r="455" spans="1:14" x14ac:dyDescent="0.3">
      <c r="A455" t="s">
        <v>554</v>
      </c>
      <c r="B455" t="s">
        <v>40</v>
      </c>
      <c r="C455" s="11">
        <v>45530</v>
      </c>
      <c r="D455" t="s">
        <v>49</v>
      </c>
      <c r="E455" t="s">
        <v>50</v>
      </c>
      <c r="F455">
        <v>2581</v>
      </c>
      <c r="G455">
        <v>517</v>
      </c>
      <c r="H455">
        <v>117</v>
      </c>
      <c r="I455">
        <v>23229</v>
      </c>
      <c r="J455">
        <v>22331</v>
      </c>
      <c r="K455">
        <v>70</v>
      </c>
      <c r="L455" t="s">
        <v>18</v>
      </c>
      <c r="M455" t="s">
        <v>25</v>
      </c>
      <c r="N455" s="21">
        <v>0.13840458048129492</v>
      </c>
    </row>
    <row r="456" spans="1:14" x14ac:dyDescent="0.3">
      <c r="A456" t="s">
        <v>554</v>
      </c>
      <c r="B456" t="s">
        <v>40</v>
      </c>
      <c r="C456" s="11">
        <v>45530</v>
      </c>
      <c r="D456" t="s">
        <v>49</v>
      </c>
      <c r="E456" t="s">
        <v>50</v>
      </c>
      <c r="F456">
        <v>2581</v>
      </c>
      <c r="G456">
        <v>517</v>
      </c>
      <c r="H456">
        <v>117</v>
      </c>
      <c r="I456">
        <v>23229</v>
      </c>
      <c r="J456">
        <v>22331</v>
      </c>
      <c r="K456">
        <v>70</v>
      </c>
      <c r="L456" t="s">
        <v>58</v>
      </c>
      <c r="M456" t="s">
        <v>25</v>
      </c>
      <c r="N456" s="21">
        <v>0.13840458048129492</v>
      </c>
    </row>
    <row r="457" spans="1:14" x14ac:dyDescent="0.3">
      <c r="A457" t="s">
        <v>555</v>
      </c>
      <c r="B457" t="s">
        <v>14</v>
      </c>
      <c r="C457" s="11">
        <v>45535</v>
      </c>
      <c r="D457" t="s">
        <v>42</v>
      </c>
      <c r="E457" t="s">
        <v>43</v>
      </c>
      <c r="F457">
        <v>4494</v>
      </c>
      <c r="G457">
        <v>717</v>
      </c>
      <c r="H457">
        <v>45</v>
      </c>
      <c r="I457">
        <v>62916</v>
      </c>
      <c r="J457">
        <v>62688</v>
      </c>
      <c r="K457">
        <v>191</v>
      </c>
      <c r="L457" t="s">
        <v>24</v>
      </c>
      <c r="M457" t="s">
        <v>19</v>
      </c>
      <c r="N457" s="21">
        <v>8.3539958039290485E-2</v>
      </c>
    </row>
  </sheetData>
  <phoneticPr fontId="6"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3002-2C7F-47EF-9DDD-79F042858DF8}">
  <dimension ref="A8:D154"/>
  <sheetViews>
    <sheetView topLeftCell="A147" workbookViewId="0">
      <selection activeCell="K73" sqref="K73"/>
    </sheetView>
  </sheetViews>
  <sheetFormatPr defaultRowHeight="14.4" x14ac:dyDescent="0.3"/>
  <cols>
    <col min="1" max="1" width="13.77734375" bestFit="1" customWidth="1"/>
    <col min="2" max="2" width="23.44140625" bestFit="1" customWidth="1"/>
    <col min="3" max="3" width="11.21875" bestFit="1" customWidth="1"/>
    <col min="4" max="4" width="14.88671875" bestFit="1" customWidth="1"/>
    <col min="5" max="5" width="25.109375" bestFit="1" customWidth="1"/>
  </cols>
  <sheetData>
    <row r="8" spans="1:2" x14ac:dyDescent="0.3">
      <c r="A8" s="12" t="s">
        <v>606</v>
      </c>
      <c r="B8" t="s">
        <v>580</v>
      </c>
    </row>
    <row r="9" spans="1:2" x14ac:dyDescent="0.3">
      <c r="A9" s="13" t="s">
        <v>31</v>
      </c>
      <c r="B9" s="17">
        <v>0.19329257693923488</v>
      </c>
    </row>
    <row r="10" spans="1:2" x14ac:dyDescent="0.3">
      <c r="A10" s="13" t="s">
        <v>14</v>
      </c>
      <c r="B10" s="17">
        <v>0.14368407434207892</v>
      </c>
    </row>
    <row r="11" spans="1:2" x14ac:dyDescent="0.3">
      <c r="A11" s="13" t="s">
        <v>576</v>
      </c>
      <c r="B11" s="17">
        <v>0.13118493770753806</v>
      </c>
    </row>
    <row r="12" spans="1:2" x14ac:dyDescent="0.3">
      <c r="A12" s="13" t="s">
        <v>40</v>
      </c>
      <c r="B12" s="17">
        <v>0.12197289956132547</v>
      </c>
    </row>
    <row r="44" spans="1:2" x14ac:dyDescent="0.3">
      <c r="A44" s="12" t="s">
        <v>594</v>
      </c>
      <c r="B44" t="s">
        <v>605</v>
      </c>
    </row>
    <row r="45" spans="1:2" x14ac:dyDescent="0.3">
      <c r="A45" s="13" t="s">
        <v>435</v>
      </c>
      <c r="B45" s="14">
        <v>1.8129251700680271</v>
      </c>
    </row>
    <row r="46" spans="1:2" x14ac:dyDescent="0.3">
      <c r="A46" s="13" t="s">
        <v>165</v>
      </c>
      <c r="B46" s="14">
        <v>0.86601941747572819</v>
      </c>
    </row>
    <row r="47" spans="1:2" x14ac:dyDescent="0.3">
      <c r="A47" s="13" t="s">
        <v>452</v>
      </c>
      <c r="B47" s="14">
        <v>0.7168674698795181</v>
      </c>
    </row>
    <row r="48" spans="1:2" x14ac:dyDescent="0.3">
      <c r="A48" s="13" t="s">
        <v>373</v>
      </c>
      <c r="B48" s="14">
        <v>0.70387596899224802</v>
      </c>
    </row>
    <row r="49" spans="1:2" x14ac:dyDescent="0.3">
      <c r="A49" s="13" t="s">
        <v>367</v>
      </c>
      <c r="B49" s="14">
        <v>0.6508215962441315</v>
      </c>
    </row>
    <row r="50" spans="1:2" x14ac:dyDescent="0.3">
      <c r="A50" s="13" t="s">
        <v>173</v>
      </c>
      <c r="B50" s="14">
        <v>0.53773584905660377</v>
      </c>
    </row>
    <row r="51" spans="1:2" x14ac:dyDescent="0.3">
      <c r="A51" s="13" t="s">
        <v>500</v>
      </c>
      <c r="B51" s="14">
        <v>0.53389830508474578</v>
      </c>
    </row>
    <row r="52" spans="1:2" x14ac:dyDescent="0.3">
      <c r="A52" s="13" t="s">
        <v>316</v>
      </c>
      <c r="B52" s="14">
        <v>0.50192307692307692</v>
      </c>
    </row>
    <row r="53" spans="1:2" x14ac:dyDescent="0.3">
      <c r="A53" s="13" t="s">
        <v>422</v>
      </c>
      <c r="B53" s="14">
        <v>0.48518407662376534</v>
      </c>
    </row>
    <row r="54" spans="1:2" x14ac:dyDescent="0.3">
      <c r="A54" s="13" t="s">
        <v>188</v>
      </c>
      <c r="B54" s="14">
        <v>0.38274706867671693</v>
      </c>
    </row>
    <row r="79" spans="1:4" x14ac:dyDescent="0.3">
      <c r="A79" s="12" t="s">
        <v>3</v>
      </c>
      <c r="B79" t="s">
        <v>596</v>
      </c>
      <c r="C79" t="s">
        <v>597</v>
      </c>
      <c r="D79" t="s">
        <v>598</v>
      </c>
    </row>
    <row r="80" spans="1:4" x14ac:dyDescent="0.3">
      <c r="A80" s="13" t="s">
        <v>49</v>
      </c>
      <c r="B80" s="15">
        <v>173468</v>
      </c>
      <c r="C80" s="15">
        <v>29610</v>
      </c>
      <c r="D80" s="15">
        <v>16352</v>
      </c>
    </row>
    <row r="81" spans="1:4" x14ac:dyDescent="0.3">
      <c r="A81" s="13" t="s">
        <v>42</v>
      </c>
      <c r="B81" s="15">
        <v>161999</v>
      </c>
      <c r="C81" s="15">
        <v>26471</v>
      </c>
      <c r="D81" s="15">
        <v>14508</v>
      </c>
    </row>
    <row r="82" spans="1:4" x14ac:dyDescent="0.3">
      <c r="A82" s="13" t="s">
        <v>16</v>
      </c>
      <c r="B82" s="15">
        <v>127945</v>
      </c>
      <c r="C82" s="15">
        <v>23201</v>
      </c>
      <c r="D82" s="15">
        <v>11320</v>
      </c>
    </row>
    <row r="83" spans="1:4" x14ac:dyDescent="0.3">
      <c r="A83" s="13" t="s">
        <v>33</v>
      </c>
      <c r="B83" s="15">
        <v>124488</v>
      </c>
      <c r="C83" s="15">
        <v>23955</v>
      </c>
      <c r="D83" s="15">
        <v>12107</v>
      </c>
    </row>
    <row r="84" spans="1:4" x14ac:dyDescent="0.3">
      <c r="A84" s="13" t="s">
        <v>22</v>
      </c>
      <c r="B84" s="15">
        <v>116496</v>
      </c>
      <c r="C84" s="15">
        <v>18693</v>
      </c>
      <c r="D84" s="15">
        <v>10285</v>
      </c>
    </row>
    <row r="85" spans="1:4" x14ac:dyDescent="0.3">
      <c r="A85" s="13" t="s">
        <v>69</v>
      </c>
      <c r="B85" s="15">
        <v>115595</v>
      </c>
      <c r="C85" s="15">
        <v>20995</v>
      </c>
      <c r="D85" s="15">
        <v>10279</v>
      </c>
    </row>
    <row r="114" spans="1:2" x14ac:dyDescent="0.3">
      <c r="A114" s="12" t="s">
        <v>578</v>
      </c>
      <c r="B114" t="s">
        <v>579</v>
      </c>
    </row>
    <row r="115" spans="1:2" x14ac:dyDescent="0.3">
      <c r="A115" s="13" t="s">
        <v>44</v>
      </c>
      <c r="B115" s="14">
        <v>165.27173913043478</v>
      </c>
    </row>
    <row r="116" spans="1:2" x14ac:dyDescent="0.3">
      <c r="A116" s="13" t="s">
        <v>77</v>
      </c>
      <c r="B116" s="14">
        <v>152.57499999999999</v>
      </c>
    </row>
    <row r="117" spans="1:2" x14ac:dyDescent="0.3">
      <c r="A117" s="13" t="s">
        <v>18</v>
      </c>
      <c r="B117" s="14">
        <v>149.70103092783506</v>
      </c>
    </row>
    <row r="118" spans="1:2" x14ac:dyDescent="0.3">
      <c r="A118" s="13" t="s">
        <v>58</v>
      </c>
      <c r="B118" s="14">
        <v>146.16346153846155</v>
      </c>
    </row>
    <row r="119" spans="1:2" x14ac:dyDescent="0.3">
      <c r="A119" s="13" t="s">
        <v>24</v>
      </c>
      <c r="B119" s="14">
        <v>140.96385542168676</v>
      </c>
    </row>
    <row r="151" spans="1:2" x14ac:dyDescent="0.3">
      <c r="A151" s="12" t="s">
        <v>604</v>
      </c>
      <c r="B151" t="s">
        <v>579</v>
      </c>
    </row>
    <row r="152" spans="1:2" x14ac:dyDescent="0.3">
      <c r="A152" s="13" t="s">
        <v>44</v>
      </c>
      <c r="B152" s="14">
        <v>165.27173913043478</v>
      </c>
    </row>
    <row r="153" spans="1:2" x14ac:dyDescent="0.3">
      <c r="A153" s="13" t="s">
        <v>77</v>
      </c>
      <c r="B153" s="14">
        <v>152.57499999999999</v>
      </c>
    </row>
    <row r="154" spans="1:2" x14ac:dyDescent="0.3">
      <c r="A154" s="13" t="s">
        <v>18</v>
      </c>
      <c r="B154" s="14">
        <v>149.70103092783506</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1018-8797-4751-846B-57E233FBF3B9}">
  <dimension ref="A7:H129"/>
  <sheetViews>
    <sheetView tabSelected="1" topLeftCell="A45" workbookViewId="0">
      <selection activeCell="J14" sqref="J14"/>
    </sheetView>
  </sheetViews>
  <sheetFormatPr defaultRowHeight="14.4" x14ac:dyDescent="0.3"/>
  <cols>
    <col min="1" max="1" width="12.77734375" customWidth="1"/>
    <col min="2" max="2" width="18.88671875" customWidth="1"/>
    <col min="3" max="3" width="14.44140625" bestFit="1" customWidth="1"/>
    <col min="4" max="4" width="25" bestFit="1" customWidth="1"/>
    <col min="5" max="5" width="23.88671875" customWidth="1"/>
    <col min="6" max="6" width="16.33203125" customWidth="1"/>
    <col min="8" max="8" width="11.77734375" customWidth="1"/>
  </cols>
  <sheetData>
    <row r="7" spans="1:2" x14ac:dyDescent="0.3">
      <c r="A7" s="12" t="s">
        <v>1</v>
      </c>
      <c r="B7" t="s">
        <v>595</v>
      </c>
    </row>
    <row r="8" spans="1:2" x14ac:dyDescent="0.3">
      <c r="A8" s="13" t="s">
        <v>31</v>
      </c>
      <c r="B8">
        <v>285.78000000000003</v>
      </c>
    </row>
    <row r="9" spans="1:2" x14ac:dyDescent="0.3">
      <c r="A9" s="13" t="s">
        <v>14</v>
      </c>
      <c r="B9">
        <v>282.79000000000002</v>
      </c>
    </row>
    <row r="10" spans="1:2" x14ac:dyDescent="0.3">
      <c r="A10" s="13" t="s">
        <v>40</v>
      </c>
      <c r="B10">
        <v>282.43</v>
      </c>
    </row>
    <row r="11" spans="1:2" x14ac:dyDescent="0.3">
      <c r="A11" s="13" t="s">
        <v>576</v>
      </c>
      <c r="B11">
        <v>277.94</v>
      </c>
    </row>
    <row r="17" spans="4:5" ht="45.6" customHeight="1" x14ac:dyDescent="0.3"/>
    <row r="24" spans="4:5" ht="36" x14ac:dyDescent="0.35">
      <c r="D24" s="28" t="s">
        <v>628</v>
      </c>
      <c r="E24" s="27" t="str">
        <f>_xlfn.XLOOKUP(MAX(B8:B11), B8:B11, A8:A11, , 0)</f>
        <v>Instagram</v>
      </c>
    </row>
    <row r="42" spans="1:2" x14ac:dyDescent="0.3">
      <c r="A42" s="12" t="s">
        <v>606</v>
      </c>
      <c r="B42" t="s">
        <v>607</v>
      </c>
    </row>
    <row r="43" spans="1:2" x14ac:dyDescent="0.3">
      <c r="A43" s="13" t="s">
        <v>14</v>
      </c>
      <c r="B43" s="20">
        <v>9.2800256766213396E-3</v>
      </c>
    </row>
    <row r="44" spans="1:2" x14ac:dyDescent="0.3">
      <c r="A44" s="13" t="s">
        <v>576</v>
      </c>
      <c r="B44" s="20">
        <v>9.021066631336009E-3</v>
      </c>
    </row>
    <row r="45" spans="1:2" x14ac:dyDescent="0.3">
      <c r="A45" s="13" t="s">
        <v>31</v>
      </c>
      <c r="B45" s="20">
        <v>5.7625321264951823E-3</v>
      </c>
    </row>
    <row r="46" spans="1:2" x14ac:dyDescent="0.3">
      <c r="A46" s="13" t="s">
        <v>40</v>
      </c>
      <c r="B46" s="20">
        <v>5.4649906832972654E-3</v>
      </c>
    </row>
    <row r="57" spans="5:6" ht="54" x14ac:dyDescent="0.35">
      <c r="E57" s="28" t="s">
        <v>629</v>
      </c>
      <c r="F57" s="27" t="str">
        <f>_xlfn.XLOOKUP(MAX(B43:B46),B43:B46, A43:A46)</f>
        <v>Twitter</v>
      </c>
    </row>
    <row r="78" spans="1:8" x14ac:dyDescent="0.3">
      <c r="A78" s="12" t="s">
        <v>606</v>
      </c>
      <c r="B78" t="s">
        <v>595</v>
      </c>
      <c r="C78" t="s">
        <v>587</v>
      </c>
      <c r="G78" s="18"/>
      <c r="H78" s="29"/>
    </row>
    <row r="79" spans="1:8" x14ac:dyDescent="0.3">
      <c r="A79" s="13" t="s">
        <v>576</v>
      </c>
      <c r="B79" s="14"/>
      <c r="C79" s="15"/>
      <c r="G79" s="14"/>
      <c r="H79" s="15"/>
    </row>
    <row r="80" spans="1:8" x14ac:dyDescent="0.3">
      <c r="A80" s="19" t="s">
        <v>613</v>
      </c>
      <c r="B80" s="14">
        <v>20.020000000000003</v>
      </c>
      <c r="C80" s="15">
        <v>107617</v>
      </c>
      <c r="G80" s="14"/>
      <c r="H80" s="15"/>
    </row>
    <row r="81" spans="1:8" x14ac:dyDescent="0.3">
      <c r="A81" s="19" t="s">
        <v>614</v>
      </c>
      <c r="B81" s="14">
        <v>34.17</v>
      </c>
      <c r="C81" s="15">
        <v>104522</v>
      </c>
      <c r="G81" s="14"/>
      <c r="H81" s="15"/>
    </row>
    <row r="82" spans="1:8" x14ac:dyDescent="0.3">
      <c r="A82" s="19" t="s">
        <v>615</v>
      </c>
      <c r="B82" s="14">
        <v>30.75</v>
      </c>
      <c r="C82" s="15">
        <v>114199</v>
      </c>
      <c r="G82" s="14"/>
      <c r="H82" s="15"/>
    </row>
    <row r="83" spans="1:8" x14ac:dyDescent="0.3">
      <c r="A83" s="19" t="s">
        <v>616</v>
      </c>
      <c r="B83" s="14">
        <v>17.72</v>
      </c>
      <c r="C83" s="15">
        <v>81578</v>
      </c>
    </row>
    <row r="84" spans="1:8" x14ac:dyDescent="0.3">
      <c r="A84" s="19" t="s">
        <v>617</v>
      </c>
      <c r="B84" s="14">
        <v>12.02</v>
      </c>
      <c r="C84" s="15">
        <v>19715</v>
      </c>
    </row>
    <row r="85" spans="1:8" x14ac:dyDescent="0.3">
      <c r="A85" s="19" t="s">
        <v>618</v>
      </c>
      <c r="B85" s="14">
        <v>13.380000000000003</v>
      </c>
      <c r="C85" s="15">
        <v>77972</v>
      </c>
    </row>
    <row r="86" spans="1:8" x14ac:dyDescent="0.3">
      <c r="A86" s="19" t="s">
        <v>619</v>
      </c>
      <c r="B86" s="14">
        <v>25.16</v>
      </c>
      <c r="C86" s="15">
        <v>116861</v>
      </c>
    </row>
    <row r="87" spans="1:8" x14ac:dyDescent="0.3">
      <c r="A87" s="19" t="s">
        <v>620</v>
      </c>
      <c r="B87" s="14">
        <v>23.480000000000004</v>
      </c>
      <c r="C87" s="15">
        <v>99499</v>
      </c>
    </row>
    <row r="88" spans="1:8" x14ac:dyDescent="0.3">
      <c r="A88" s="19" t="s">
        <v>621</v>
      </c>
      <c r="B88" s="14">
        <v>31.840000000000003</v>
      </c>
      <c r="C88" s="15">
        <v>104039</v>
      </c>
    </row>
    <row r="89" spans="1:8" x14ac:dyDescent="0.3">
      <c r="A89" s="19" t="s">
        <v>622</v>
      </c>
      <c r="B89" s="14">
        <v>18.23</v>
      </c>
      <c r="C89" s="15">
        <v>125528</v>
      </c>
    </row>
    <row r="90" spans="1:8" x14ac:dyDescent="0.3">
      <c r="A90" s="19" t="s">
        <v>623</v>
      </c>
      <c r="B90" s="14">
        <v>27.630000000000003</v>
      </c>
      <c r="C90" s="15">
        <v>85961</v>
      </c>
    </row>
    <row r="91" spans="1:8" x14ac:dyDescent="0.3">
      <c r="A91" s="19" t="s">
        <v>624</v>
      </c>
      <c r="B91" s="14">
        <v>23.54</v>
      </c>
      <c r="C91" s="15">
        <v>191156</v>
      </c>
    </row>
    <row r="116" spans="1:3" x14ac:dyDescent="0.3">
      <c r="A116" t="str">
        <f t="shared" ref="A116:C129" si="0">A78</f>
        <v>Platforms</v>
      </c>
      <c r="B116" t="str">
        <f t="shared" si="0"/>
        <v>Total Engagement</v>
      </c>
      <c r="C116" t="str">
        <f t="shared" si="0"/>
        <v>Total Ad_Spend</v>
      </c>
    </row>
    <row r="117" spans="1:3" x14ac:dyDescent="0.3">
      <c r="A117" t="str">
        <f t="shared" si="0"/>
        <v>Youtube</v>
      </c>
    </row>
    <row r="118" spans="1:3" x14ac:dyDescent="0.3">
      <c r="A118" t="str">
        <f t="shared" si="0"/>
        <v>Jan</v>
      </c>
      <c r="B118">
        <f t="shared" si="0"/>
        <v>20.020000000000003</v>
      </c>
      <c r="C118">
        <f t="shared" si="0"/>
        <v>107617</v>
      </c>
    </row>
    <row r="119" spans="1:3" x14ac:dyDescent="0.3">
      <c r="A119" t="str">
        <f t="shared" si="0"/>
        <v>Feb</v>
      </c>
      <c r="B119">
        <f t="shared" si="0"/>
        <v>34.17</v>
      </c>
      <c r="C119">
        <f t="shared" si="0"/>
        <v>104522</v>
      </c>
    </row>
    <row r="120" spans="1:3" x14ac:dyDescent="0.3">
      <c r="A120" t="str">
        <f t="shared" si="0"/>
        <v>Mar</v>
      </c>
      <c r="B120">
        <f t="shared" si="0"/>
        <v>30.75</v>
      </c>
      <c r="C120">
        <f t="shared" si="0"/>
        <v>114199</v>
      </c>
    </row>
    <row r="121" spans="1:3" x14ac:dyDescent="0.3">
      <c r="A121" t="str">
        <f t="shared" si="0"/>
        <v>Apr</v>
      </c>
      <c r="B121">
        <f t="shared" si="0"/>
        <v>17.72</v>
      </c>
      <c r="C121">
        <f t="shared" si="0"/>
        <v>81578</v>
      </c>
    </row>
    <row r="122" spans="1:3" x14ac:dyDescent="0.3">
      <c r="A122" t="str">
        <f t="shared" si="0"/>
        <v>May</v>
      </c>
      <c r="B122">
        <f t="shared" si="0"/>
        <v>12.02</v>
      </c>
      <c r="C122">
        <f t="shared" si="0"/>
        <v>19715</v>
      </c>
    </row>
    <row r="123" spans="1:3" x14ac:dyDescent="0.3">
      <c r="A123" t="str">
        <f t="shared" si="0"/>
        <v>Jun</v>
      </c>
      <c r="B123">
        <f t="shared" si="0"/>
        <v>13.380000000000003</v>
      </c>
      <c r="C123">
        <f t="shared" si="0"/>
        <v>77972</v>
      </c>
    </row>
    <row r="124" spans="1:3" x14ac:dyDescent="0.3">
      <c r="A124" t="str">
        <f t="shared" si="0"/>
        <v>Jul</v>
      </c>
      <c r="B124">
        <f t="shared" si="0"/>
        <v>25.16</v>
      </c>
      <c r="C124">
        <f t="shared" si="0"/>
        <v>116861</v>
      </c>
    </row>
    <row r="125" spans="1:3" x14ac:dyDescent="0.3">
      <c r="A125" t="str">
        <f t="shared" si="0"/>
        <v>Aug</v>
      </c>
      <c r="B125">
        <f t="shared" si="0"/>
        <v>23.480000000000004</v>
      </c>
      <c r="C125">
        <f t="shared" si="0"/>
        <v>99499</v>
      </c>
    </row>
    <row r="126" spans="1:3" x14ac:dyDescent="0.3">
      <c r="A126" t="str">
        <f t="shared" si="0"/>
        <v>Sep</v>
      </c>
      <c r="B126">
        <f t="shared" si="0"/>
        <v>31.840000000000003</v>
      </c>
      <c r="C126">
        <f t="shared" si="0"/>
        <v>104039</v>
      </c>
    </row>
    <row r="127" spans="1:3" x14ac:dyDescent="0.3">
      <c r="A127" t="str">
        <f t="shared" si="0"/>
        <v>Oct</v>
      </c>
      <c r="B127">
        <f t="shared" si="0"/>
        <v>18.23</v>
      </c>
      <c r="C127">
        <f t="shared" si="0"/>
        <v>125528</v>
      </c>
    </row>
    <row r="128" spans="1:3" x14ac:dyDescent="0.3">
      <c r="A128" t="str">
        <f t="shared" si="0"/>
        <v>Nov</v>
      </c>
      <c r="B128">
        <f t="shared" si="0"/>
        <v>27.630000000000003</v>
      </c>
      <c r="C128">
        <f t="shared" si="0"/>
        <v>85961</v>
      </c>
    </row>
    <row r="129" spans="1:3" x14ac:dyDescent="0.3">
      <c r="A129" t="str">
        <f t="shared" si="0"/>
        <v>Dec</v>
      </c>
      <c r="B129">
        <f t="shared" si="0"/>
        <v>23.54</v>
      </c>
      <c r="C129">
        <f t="shared" si="0"/>
        <v>191156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1755-5F72-4898-8874-0A32C6674515}">
  <dimension ref="A8:E88"/>
  <sheetViews>
    <sheetView topLeftCell="A57" workbookViewId="0">
      <selection activeCell="A42" sqref="A42"/>
    </sheetView>
  </sheetViews>
  <sheetFormatPr defaultRowHeight="14.4" x14ac:dyDescent="0.3"/>
  <cols>
    <col min="1" max="1" width="14.5546875" bestFit="1" customWidth="1"/>
    <col min="2" max="2" width="23.44140625" bestFit="1" customWidth="1"/>
    <col min="3" max="3" width="18.21875" bestFit="1" customWidth="1"/>
    <col min="4" max="4" width="20.77734375" customWidth="1"/>
    <col min="5" max="5" width="20.5546875" customWidth="1"/>
    <col min="6" max="6" width="10.77734375" bestFit="1" customWidth="1"/>
  </cols>
  <sheetData>
    <row r="8" spans="1:2" x14ac:dyDescent="0.3">
      <c r="A8" s="12" t="s">
        <v>578</v>
      </c>
      <c r="B8" t="s">
        <v>588</v>
      </c>
    </row>
    <row r="9" spans="1:2" x14ac:dyDescent="0.3">
      <c r="A9" s="13" t="s">
        <v>58</v>
      </c>
      <c r="B9">
        <v>104</v>
      </c>
    </row>
    <row r="10" spans="1:2" x14ac:dyDescent="0.3">
      <c r="A10" s="13" t="s">
        <v>18</v>
      </c>
      <c r="B10">
        <v>97</v>
      </c>
    </row>
    <row r="11" spans="1:2" x14ac:dyDescent="0.3">
      <c r="A11" s="13" t="s">
        <v>44</v>
      </c>
      <c r="B11">
        <v>92</v>
      </c>
    </row>
    <row r="12" spans="1:2" x14ac:dyDescent="0.3">
      <c r="A12" s="13" t="s">
        <v>24</v>
      </c>
      <c r="B12">
        <v>83</v>
      </c>
    </row>
    <row r="13" spans="1:2" x14ac:dyDescent="0.3">
      <c r="A13" s="13" t="s">
        <v>77</v>
      </c>
      <c r="B13">
        <v>80</v>
      </c>
    </row>
    <row r="14" spans="1:2" x14ac:dyDescent="0.3">
      <c r="A14" s="13"/>
    </row>
    <row r="15" spans="1:2" x14ac:dyDescent="0.3">
      <c r="A15" s="13"/>
    </row>
    <row r="16" spans="1:2" x14ac:dyDescent="0.3">
      <c r="A16" s="13"/>
    </row>
    <row r="17" spans="1:5" x14ac:dyDescent="0.3">
      <c r="A17" s="13"/>
    </row>
    <row r="18" spans="1:5" x14ac:dyDescent="0.3">
      <c r="A18" s="13"/>
    </row>
    <row r="19" spans="1:5" x14ac:dyDescent="0.3">
      <c r="A19" s="13"/>
    </row>
    <row r="20" spans="1:5" x14ac:dyDescent="0.3">
      <c r="A20" s="13"/>
    </row>
    <row r="21" spans="1:5" x14ac:dyDescent="0.3">
      <c r="A21" s="13"/>
    </row>
    <row r="22" spans="1:5" x14ac:dyDescent="0.3">
      <c r="A22" s="13"/>
    </row>
    <row r="23" spans="1:5" x14ac:dyDescent="0.3">
      <c r="A23" s="13"/>
    </row>
    <row r="24" spans="1:5" ht="36" x14ac:dyDescent="0.3">
      <c r="A24" s="13"/>
      <c r="D24" s="30" t="s">
        <v>630</v>
      </c>
      <c r="E24" s="31" t="str">
        <f>_xlfn.XLOOKUP(MAX(B9:B13), B9:B13, A9:A13, , 0)</f>
        <v>#StyleWithMyntra</v>
      </c>
    </row>
    <row r="25" spans="1:5" x14ac:dyDescent="0.3">
      <c r="A25" s="13"/>
    </row>
    <row r="26" spans="1:5" x14ac:dyDescent="0.3">
      <c r="A26" s="13"/>
    </row>
    <row r="27" spans="1:5" x14ac:dyDescent="0.3">
      <c r="A27" s="13"/>
    </row>
    <row r="28" spans="1:5" x14ac:dyDescent="0.3">
      <c r="A28" s="13"/>
    </row>
    <row r="29" spans="1:5" x14ac:dyDescent="0.3">
      <c r="A29" s="13"/>
    </row>
    <row r="30" spans="1:5" x14ac:dyDescent="0.3">
      <c r="A30" s="13"/>
    </row>
    <row r="31" spans="1:5" x14ac:dyDescent="0.3">
      <c r="A31" s="13"/>
    </row>
    <row r="32" spans="1:5" x14ac:dyDescent="0.3">
      <c r="A32" s="13"/>
    </row>
    <row r="33" spans="1:2" x14ac:dyDescent="0.3">
      <c r="A33" s="13"/>
    </row>
    <row r="34" spans="1:2" x14ac:dyDescent="0.3">
      <c r="A34" s="13"/>
    </row>
    <row r="35" spans="1:2" x14ac:dyDescent="0.3">
      <c r="A35" s="13"/>
    </row>
    <row r="36" spans="1:2" x14ac:dyDescent="0.3">
      <c r="A36" s="13"/>
    </row>
    <row r="37" spans="1:2" x14ac:dyDescent="0.3">
      <c r="A37" s="13"/>
    </row>
    <row r="38" spans="1:2" x14ac:dyDescent="0.3">
      <c r="A38" s="13"/>
    </row>
    <row r="40" spans="1:2" x14ac:dyDescent="0.3">
      <c r="A40" s="12" t="s">
        <v>3</v>
      </c>
      <c r="B40" t="s">
        <v>580</v>
      </c>
    </row>
    <row r="41" spans="1:2" x14ac:dyDescent="0.3">
      <c r="A41" s="13" t="s">
        <v>33</v>
      </c>
      <c r="B41" s="17">
        <v>0.1785702153871854</v>
      </c>
    </row>
    <row r="42" spans="1:2" x14ac:dyDescent="0.3">
      <c r="A42" s="13" t="s">
        <v>69</v>
      </c>
      <c r="B42" s="17">
        <v>0.15418026710586519</v>
      </c>
    </row>
    <row r="43" spans="1:2" x14ac:dyDescent="0.3">
      <c r="A43" s="13" t="s">
        <v>42</v>
      </c>
      <c r="B43" s="17">
        <v>0.15047050381891938</v>
      </c>
    </row>
    <row r="44" spans="1:2" x14ac:dyDescent="0.3">
      <c r="A44" s="13" t="s">
        <v>16</v>
      </c>
      <c r="B44" s="17">
        <v>0.1478079643769159</v>
      </c>
    </row>
    <row r="45" spans="1:2" x14ac:dyDescent="0.3">
      <c r="A45" s="13" t="s">
        <v>49</v>
      </c>
      <c r="B45" s="17">
        <v>0.134416762249528</v>
      </c>
    </row>
    <row r="46" spans="1:2" x14ac:dyDescent="0.3">
      <c r="A46" s="13" t="s">
        <v>22</v>
      </c>
      <c r="B46" s="17">
        <v>0.11668494640892113</v>
      </c>
    </row>
    <row r="51" spans="1:5" x14ac:dyDescent="0.3">
      <c r="A51" s="13"/>
      <c r="B51" s="17"/>
    </row>
    <row r="52" spans="1:5" x14ac:dyDescent="0.3">
      <c r="A52" s="13"/>
      <c r="B52" s="17"/>
    </row>
    <row r="53" spans="1:5" x14ac:dyDescent="0.3">
      <c r="A53" s="13"/>
      <c r="B53" s="17"/>
    </row>
    <row r="60" spans="1:5" ht="54" x14ac:dyDescent="0.35">
      <c r="D60" s="32" t="s">
        <v>631</v>
      </c>
      <c r="E60" s="33" t="str">
        <f>_xlfn.XLOOKUP(MAX(B41:B46), B41:B46, A41:A46, , 0)</f>
        <v>Story</v>
      </c>
    </row>
    <row r="71" spans="1:2" x14ac:dyDescent="0.3">
      <c r="A71" s="12" t="s">
        <v>3</v>
      </c>
      <c r="B71" t="s">
        <v>608</v>
      </c>
    </row>
    <row r="72" spans="1:2" x14ac:dyDescent="0.3">
      <c r="A72" s="13" t="s">
        <v>58</v>
      </c>
      <c r="B72" s="17">
        <v>0.15618194212592126</v>
      </c>
    </row>
    <row r="73" spans="1:2" x14ac:dyDescent="0.3">
      <c r="A73" s="13" t="s">
        <v>18</v>
      </c>
      <c r="B73" s="17">
        <v>0.14917346050861874</v>
      </c>
    </row>
    <row r="74" spans="1:2" x14ac:dyDescent="0.3">
      <c r="A74" s="13" t="s">
        <v>24</v>
      </c>
      <c r="B74" s="17">
        <v>0.14549346635859289</v>
      </c>
    </row>
    <row r="75" spans="1:2" x14ac:dyDescent="0.3">
      <c r="A75" s="13" t="s">
        <v>44</v>
      </c>
      <c r="B75" s="17">
        <v>0.14353069934635873</v>
      </c>
    </row>
    <row r="76" spans="1:2" x14ac:dyDescent="0.3">
      <c r="A76" s="13" t="s">
        <v>77</v>
      </c>
      <c r="B76" s="17">
        <v>0.13661098759977455</v>
      </c>
    </row>
    <row r="88" spans="4:5" ht="54" x14ac:dyDescent="0.35">
      <c r="D88" s="32" t="s">
        <v>632</v>
      </c>
      <c r="E88" s="34" t="str">
        <f>_xlfn.XLOOKUP(MAX(B72:B76), B72:B76, A72:A76, 0)</f>
        <v>#StyleWithMyntra</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2715-3F2E-4AE4-B894-422437468523}">
  <dimension ref="A5:G105"/>
  <sheetViews>
    <sheetView topLeftCell="A91" workbookViewId="0">
      <selection activeCell="D24" sqref="D24"/>
    </sheetView>
  </sheetViews>
  <sheetFormatPr defaultRowHeight="14.4" x14ac:dyDescent="0.3"/>
  <cols>
    <col min="1" max="1" width="17.21875" bestFit="1" customWidth="1"/>
    <col min="2" max="2" width="19" bestFit="1" customWidth="1"/>
    <col min="3" max="3" width="18.5546875" bestFit="1" customWidth="1"/>
    <col min="4" max="4" width="14.44140625" bestFit="1" customWidth="1"/>
    <col min="5" max="5" width="22" customWidth="1"/>
    <col min="6" max="6" width="21.77734375" customWidth="1"/>
    <col min="7" max="7" width="20.6640625" customWidth="1"/>
  </cols>
  <sheetData>
    <row r="5" spans="1:7" x14ac:dyDescent="0.3">
      <c r="A5" s="12" t="s">
        <v>599</v>
      </c>
      <c r="B5" t="s">
        <v>600</v>
      </c>
      <c r="C5" t="s">
        <v>601</v>
      </c>
      <c r="D5" t="s">
        <v>596</v>
      </c>
      <c r="E5" t="s">
        <v>602</v>
      </c>
      <c r="F5" t="s">
        <v>603</v>
      </c>
      <c r="G5" t="s">
        <v>579</v>
      </c>
    </row>
    <row r="6" spans="1:7" x14ac:dyDescent="0.3">
      <c r="A6" s="13" t="s">
        <v>25</v>
      </c>
      <c r="B6">
        <v>2886292</v>
      </c>
      <c r="C6" s="14">
        <v>34774.602409638552</v>
      </c>
      <c r="D6">
        <v>232785</v>
      </c>
      <c r="E6" s="14">
        <v>2804.6385542168673</v>
      </c>
      <c r="F6">
        <v>12376</v>
      </c>
      <c r="G6" s="14">
        <v>149.10843373493975</v>
      </c>
    </row>
    <row r="7" spans="1:7" x14ac:dyDescent="0.3">
      <c r="A7" s="13" t="s">
        <v>19</v>
      </c>
      <c r="B7">
        <v>2788367</v>
      </c>
      <c r="C7" s="14">
        <v>38727.319444444445</v>
      </c>
      <c r="D7">
        <v>212431</v>
      </c>
      <c r="E7" s="14">
        <v>2950.4305555555557</v>
      </c>
      <c r="F7">
        <v>11191</v>
      </c>
      <c r="G7" s="14">
        <v>155.43055555555554</v>
      </c>
    </row>
    <row r="8" spans="1:7" x14ac:dyDescent="0.3">
      <c r="A8" s="13" t="s">
        <v>38</v>
      </c>
      <c r="B8">
        <v>2611652</v>
      </c>
      <c r="C8" s="14">
        <v>33482.717948717946</v>
      </c>
      <c r="D8">
        <v>198666</v>
      </c>
      <c r="E8" s="14">
        <v>2547</v>
      </c>
      <c r="F8">
        <v>12464</v>
      </c>
      <c r="G8" s="14">
        <v>159.7948717948718</v>
      </c>
    </row>
    <row r="9" spans="1:7" x14ac:dyDescent="0.3">
      <c r="A9" s="13" t="s">
        <v>55</v>
      </c>
      <c r="B9">
        <v>2107842</v>
      </c>
      <c r="C9" s="14">
        <v>31460.328358208953</v>
      </c>
      <c r="D9">
        <v>176109</v>
      </c>
      <c r="E9" s="14">
        <v>2628.4925373134329</v>
      </c>
      <c r="F9">
        <v>9335</v>
      </c>
      <c r="G9" s="14">
        <v>139.32835820895522</v>
      </c>
    </row>
    <row r="18" spans="1:6" x14ac:dyDescent="0.3">
      <c r="A18" s="13"/>
      <c r="B18" s="14"/>
      <c r="C18" s="14"/>
      <c r="D18" s="14"/>
    </row>
    <row r="20" spans="1:6" x14ac:dyDescent="0.3">
      <c r="A20" s="12" t="s">
        <v>626</v>
      </c>
      <c r="B20" s="12" t="s">
        <v>627</v>
      </c>
    </row>
    <row r="21" spans="1:6" x14ac:dyDescent="0.3">
      <c r="A21" s="12" t="s">
        <v>599</v>
      </c>
      <c r="B21" t="s">
        <v>585</v>
      </c>
      <c r="C21" t="s">
        <v>586</v>
      </c>
      <c r="D21" s="26" t="s">
        <v>609</v>
      </c>
    </row>
    <row r="22" spans="1:6" x14ac:dyDescent="0.3">
      <c r="A22" s="13" t="s">
        <v>25</v>
      </c>
      <c r="B22" s="14">
        <v>6.3650000000000002</v>
      </c>
      <c r="C22" s="14">
        <v>5.734375</v>
      </c>
      <c r="D22" s="21">
        <f>(C22-B22)/B22</f>
        <v>-9.9076983503534985E-2</v>
      </c>
      <c r="F22" s="25"/>
    </row>
    <row r="23" spans="1:6" x14ac:dyDescent="0.3">
      <c r="A23" s="13" t="s">
        <v>19</v>
      </c>
      <c r="B23" s="14">
        <v>5.4818750000000005</v>
      </c>
      <c r="C23" s="14">
        <v>6.6018749999999988</v>
      </c>
      <c r="D23" s="21">
        <f t="shared" ref="D23:D25" si="0">(C23-B23)/B23</f>
        <v>0.20430965682362298</v>
      </c>
      <c r="F23" s="25"/>
    </row>
    <row r="24" spans="1:6" x14ac:dyDescent="0.3">
      <c r="A24" s="13" t="s">
        <v>38</v>
      </c>
      <c r="B24" s="14">
        <v>5.918124999999999</v>
      </c>
      <c r="C24" s="14">
        <v>5.2624999999999975</v>
      </c>
      <c r="D24" s="21">
        <f t="shared" si="0"/>
        <v>-0.11078255359594492</v>
      </c>
    </row>
    <row r="25" spans="1:6" x14ac:dyDescent="0.3">
      <c r="A25" s="13" t="s">
        <v>55</v>
      </c>
      <c r="B25" s="14">
        <v>5.3331250000000017</v>
      </c>
      <c r="C25" s="14">
        <v>5.8715000000000002</v>
      </c>
      <c r="D25" s="21">
        <f t="shared" si="0"/>
        <v>0.10094925583030556</v>
      </c>
    </row>
    <row r="28" spans="1:6" x14ac:dyDescent="0.3">
      <c r="A28" s="23"/>
      <c r="B28" s="22"/>
    </row>
    <row r="29" spans="1:6" x14ac:dyDescent="0.3">
      <c r="B29" s="22"/>
    </row>
    <row r="30" spans="1:6" x14ac:dyDescent="0.3">
      <c r="B30" s="22"/>
    </row>
    <row r="31" spans="1:6" x14ac:dyDescent="0.3">
      <c r="B31" s="22"/>
    </row>
    <row r="32" spans="1:6" x14ac:dyDescent="0.3">
      <c r="B32" s="22"/>
    </row>
    <row r="33" spans="2:7" x14ac:dyDescent="0.3">
      <c r="B33" s="22"/>
    </row>
    <row r="34" spans="2:7" x14ac:dyDescent="0.3">
      <c r="B34" s="22"/>
    </row>
    <row r="35" spans="2:7" x14ac:dyDescent="0.3">
      <c r="B35" s="22"/>
    </row>
    <row r="36" spans="2:7" x14ac:dyDescent="0.3">
      <c r="B36" s="22"/>
    </row>
    <row r="37" spans="2:7" x14ac:dyDescent="0.3">
      <c r="B37" s="22"/>
    </row>
    <row r="38" spans="2:7" x14ac:dyDescent="0.3">
      <c r="B38" s="22"/>
    </row>
    <row r="39" spans="2:7" ht="54" x14ac:dyDescent="0.3">
      <c r="B39" s="22"/>
      <c r="F39" s="38" t="s">
        <v>633</v>
      </c>
      <c r="G39" s="33" t="str">
        <f>_xlfn.XLOOKUP(MAX(D22:D25), D22:D25,A22:A25, ,0)</f>
        <v>FashionUpgrade</v>
      </c>
    </row>
    <row r="40" spans="2:7" x14ac:dyDescent="0.3">
      <c r="B40" s="22"/>
    </row>
    <row r="41" spans="2:7" x14ac:dyDescent="0.3">
      <c r="B41" s="22"/>
    </row>
    <row r="42" spans="2:7" x14ac:dyDescent="0.3">
      <c r="B42" s="22"/>
    </row>
    <row r="43" spans="2:7" x14ac:dyDescent="0.3">
      <c r="B43" s="22"/>
    </row>
    <row r="44" spans="2:7" x14ac:dyDescent="0.3">
      <c r="B44" s="22"/>
    </row>
    <row r="45" spans="2:7" x14ac:dyDescent="0.3">
      <c r="B45" s="22"/>
    </row>
    <row r="46" spans="2:7" x14ac:dyDescent="0.3">
      <c r="B46" s="22"/>
    </row>
    <row r="47" spans="2:7" x14ac:dyDescent="0.3">
      <c r="B47" s="22"/>
    </row>
    <row r="48" spans="2:7" x14ac:dyDescent="0.3">
      <c r="B48" s="22"/>
    </row>
    <row r="52" spans="1:4" x14ac:dyDescent="0.3">
      <c r="A52" s="12" t="s">
        <v>599</v>
      </c>
      <c r="B52" t="s">
        <v>634</v>
      </c>
    </row>
    <row r="53" spans="1:4" x14ac:dyDescent="0.3">
      <c r="A53" s="13" t="s">
        <v>25</v>
      </c>
      <c r="B53" s="24">
        <v>2.9655174158682129E-4</v>
      </c>
    </row>
    <row r="54" spans="1:4" x14ac:dyDescent="0.3">
      <c r="A54" s="13" t="s">
        <v>19</v>
      </c>
      <c r="B54" s="24">
        <v>2.3785768153348946E-4</v>
      </c>
    </row>
    <row r="55" spans="1:4" x14ac:dyDescent="0.3">
      <c r="A55" s="13" t="s">
        <v>38</v>
      </c>
      <c r="B55" s="24">
        <v>2.2281161196857413E-4</v>
      </c>
    </row>
    <row r="56" spans="1:4" x14ac:dyDescent="0.3">
      <c r="A56" s="13" t="s">
        <v>55</v>
      </c>
      <c r="B56" s="24">
        <v>2.2290308289167171E-4</v>
      </c>
    </row>
    <row r="57" spans="1:4" x14ac:dyDescent="0.3">
      <c r="A57" s="13"/>
      <c r="D57" s="24"/>
    </row>
    <row r="58" spans="1:4" x14ac:dyDescent="0.3">
      <c r="A58" s="13"/>
      <c r="D58" s="24"/>
    </row>
    <row r="59" spans="1:4" x14ac:dyDescent="0.3">
      <c r="A59" s="13"/>
      <c r="D59" s="24"/>
    </row>
    <row r="60" spans="1:4" x14ac:dyDescent="0.3">
      <c r="A60" s="13"/>
      <c r="D60" s="24"/>
    </row>
    <row r="61" spans="1:4" x14ac:dyDescent="0.3">
      <c r="A61" s="13"/>
      <c r="D61" s="24"/>
    </row>
    <row r="62" spans="1:4" x14ac:dyDescent="0.3">
      <c r="A62" s="13"/>
      <c r="D62" s="24"/>
    </row>
    <row r="63" spans="1:4" x14ac:dyDescent="0.3">
      <c r="A63" s="13"/>
      <c r="D63" s="24"/>
    </row>
    <row r="64" spans="1:4" x14ac:dyDescent="0.3">
      <c r="A64" s="13"/>
      <c r="D64" s="24"/>
    </row>
    <row r="65" spans="1:7" x14ac:dyDescent="0.3">
      <c r="A65" s="13"/>
      <c r="D65" s="24"/>
    </row>
    <row r="66" spans="1:7" x14ac:dyDescent="0.3">
      <c r="A66" s="13"/>
      <c r="D66" s="24"/>
    </row>
    <row r="67" spans="1:7" x14ac:dyDescent="0.3">
      <c r="A67" s="13"/>
      <c r="D67" s="24"/>
    </row>
    <row r="68" spans="1:7" ht="36" x14ac:dyDescent="0.3">
      <c r="A68" s="13"/>
      <c r="D68" s="24"/>
      <c r="F68" s="38" t="s">
        <v>635</v>
      </c>
      <c r="G68" s="33" t="str">
        <f>_xlfn.XLOOKUP(MAX(B53:B56), B53:B56,A53:A56,,0)</f>
        <v>EndOfSeasonSale</v>
      </c>
    </row>
    <row r="69" spans="1:7" x14ac:dyDescent="0.3">
      <c r="A69" s="13"/>
      <c r="D69" s="24"/>
    </row>
    <row r="70" spans="1:7" x14ac:dyDescent="0.3">
      <c r="A70" s="13"/>
      <c r="D70" s="24"/>
    </row>
    <row r="71" spans="1:7" x14ac:dyDescent="0.3">
      <c r="A71" s="13"/>
      <c r="D71" s="24"/>
    </row>
    <row r="72" spans="1:7" x14ac:dyDescent="0.3">
      <c r="A72" s="13"/>
      <c r="D72" s="24"/>
    </row>
    <row r="73" spans="1:7" x14ac:dyDescent="0.3">
      <c r="A73" s="13"/>
      <c r="D73" s="24"/>
    </row>
    <row r="74" spans="1:7" x14ac:dyDescent="0.3">
      <c r="A74" s="13"/>
      <c r="D74" s="24"/>
    </row>
    <row r="75" spans="1:7" x14ac:dyDescent="0.3">
      <c r="A75" s="13"/>
      <c r="D75" s="24"/>
    </row>
    <row r="76" spans="1:7" x14ac:dyDescent="0.3">
      <c r="A76" s="13"/>
      <c r="D76" s="24"/>
    </row>
    <row r="77" spans="1:7" x14ac:dyDescent="0.3">
      <c r="A77" s="13"/>
      <c r="D77" s="24"/>
    </row>
    <row r="78" spans="1:7" x14ac:dyDescent="0.3">
      <c r="A78" s="13"/>
      <c r="D78" s="24"/>
    </row>
    <row r="79" spans="1:7" x14ac:dyDescent="0.3">
      <c r="A79" s="13"/>
      <c r="D79" s="24"/>
    </row>
    <row r="80" spans="1:7" x14ac:dyDescent="0.3">
      <c r="A80" s="13"/>
      <c r="D80" s="24"/>
    </row>
    <row r="81" spans="1:4" x14ac:dyDescent="0.3">
      <c r="A81" s="13"/>
      <c r="D81" s="24"/>
    </row>
    <row r="82" spans="1:4" x14ac:dyDescent="0.3">
      <c r="A82" s="13"/>
      <c r="D82" s="24"/>
    </row>
    <row r="83" spans="1:4" x14ac:dyDescent="0.3">
      <c r="A83" s="13"/>
      <c r="D83" s="24"/>
    </row>
    <row r="84" spans="1:4" x14ac:dyDescent="0.3">
      <c r="A84" s="13"/>
      <c r="D84" s="24"/>
    </row>
    <row r="85" spans="1:4" x14ac:dyDescent="0.3">
      <c r="A85" s="13"/>
      <c r="D85" s="24"/>
    </row>
    <row r="86" spans="1:4" x14ac:dyDescent="0.3">
      <c r="A86" s="13"/>
      <c r="D86" s="24"/>
    </row>
    <row r="87" spans="1:4" x14ac:dyDescent="0.3">
      <c r="D87" s="16"/>
    </row>
    <row r="88" spans="1:4" x14ac:dyDescent="0.3">
      <c r="A88" s="12" t="s">
        <v>599</v>
      </c>
      <c r="B88" t="s">
        <v>625</v>
      </c>
    </row>
    <row r="89" spans="1:4" x14ac:dyDescent="0.3">
      <c r="A89" s="13" t="s">
        <v>55</v>
      </c>
      <c r="B89" s="15">
        <v>36294</v>
      </c>
    </row>
    <row r="90" spans="1:4" x14ac:dyDescent="0.3">
      <c r="A90" s="13" t="s">
        <v>38</v>
      </c>
      <c r="B90" s="15">
        <v>28088</v>
      </c>
    </row>
    <row r="91" spans="1:4" x14ac:dyDescent="0.3">
      <c r="A91" s="13" t="s">
        <v>19</v>
      </c>
      <c r="B91" s="15">
        <v>20680</v>
      </c>
    </row>
    <row r="92" spans="1:4" x14ac:dyDescent="0.3">
      <c r="A92" s="13" t="s">
        <v>25</v>
      </c>
      <c r="B92" s="15">
        <v>14745</v>
      </c>
    </row>
    <row r="105" spans="5:6" ht="67.8" customHeight="1" x14ac:dyDescent="0.3">
      <c r="E105" s="38" t="s">
        <v>636</v>
      </c>
      <c r="F105" s="33" t="str">
        <f>_xlfn.XLOOKUP(MAX(B89:B92),B89:B92, A89:A92,,0)</f>
        <v>StyleRevolution</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5C546-1CAD-4E6B-892E-7AF2B37785F6}">
  <dimension ref="A26:G260"/>
  <sheetViews>
    <sheetView topLeftCell="A35" workbookViewId="0">
      <selection activeCell="I41" sqref="I41"/>
    </sheetView>
  </sheetViews>
  <sheetFormatPr defaultRowHeight="14.4" x14ac:dyDescent="0.3"/>
  <cols>
    <col min="1" max="1" width="12.5546875" bestFit="1" customWidth="1"/>
    <col min="2" max="2" width="19" bestFit="1" customWidth="1"/>
    <col min="3" max="3" width="14.44140625" bestFit="1" customWidth="1"/>
    <col min="4" max="5" width="16.21875" bestFit="1" customWidth="1"/>
    <col min="6" max="6" width="30.6640625" customWidth="1"/>
    <col min="7" max="7" width="11.44140625" customWidth="1"/>
    <col min="8" max="8" width="13.21875" customWidth="1"/>
  </cols>
  <sheetData>
    <row r="26" spans="3:5" x14ac:dyDescent="0.3">
      <c r="D26" s="37" t="s">
        <v>611</v>
      </c>
      <c r="E26" s="37" t="s">
        <v>612</v>
      </c>
    </row>
    <row r="27" spans="3:5" ht="72" x14ac:dyDescent="0.3">
      <c r="C27" s="36" t="s">
        <v>610</v>
      </c>
      <c r="D27" s="35">
        <f>_xlfn.XLOOKUP(MAX(Engagment_Summary_Clean[New_Followers]), Engagment_Summary_Clean[New_Followers],Engagment_Summary_Clean[Week_Start_Date],,0)</f>
        <v>45656</v>
      </c>
      <c r="E27" s="35">
        <f>D27+6</f>
        <v>45662</v>
      </c>
    </row>
    <row r="43" spans="1:7" x14ac:dyDescent="0.3">
      <c r="A43" s="12" t="s">
        <v>578</v>
      </c>
      <c r="B43" t="s">
        <v>625</v>
      </c>
      <c r="C43" t="s">
        <v>587</v>
      </c>
      <c r="E43" t="str">
        <f t="shared" ref="E43:E56" si="0">A43</f>
        <v>Row Labels</v>
      </c>
      <c r="F43" t="str">
        <f t="shared" ref="F43:F56" si="1">B43</f>
        <v>Net Follower_Growth</v>
      </c>
      <c r="G43" t="str">
        <f t="shared" ref="G43:G56" si="2">C43</f>
        <v>Total Ad_Spend</v>
      </c>
    </row>
    <row r="44" spans="1:7" x14ac:dyDescent="0.3">
      <c r="A44" s="13" t="s">
        <v>40</v>
      </c>
      <c r="E44" t="str">
        <f t="shared" si="0"/>
        <v>Facebook</v>
      </c>
      <c r="F44">
        <f t="shared" si="1"/>
        <v>0</v>
      </c>
      <c r="G44">
        <f t="shared" si="2"/>
        <v>0</v>
      </c>
    </row>
    <row r="45" spans="1:7" x14ac:dyDescent="0.3">
      <c r="A45" s="19" t="s">
        <v>613</v>
      </c>
      <c r="B45">
        <v>2243</v>
      </c>
      <c r="C45">
        <v>108072</v>
      </c>
      <c r="E45" t="str">
        <f t="shared" si="0"/>
        <v>Jan</v>
      </c>
      <c r="F45">
        <f t="shared" si="1"/>
        <v>2243</v>
      </c>
      <c r="G45">
        <f t="shared" si="2"/>
        <v>108072</v>
      </c>
    </row>
    <row r="46" spans="1:7" x14ac:dyDescent="0.3">
      <c r="A46" s="19" t="s">
        <v>614</v>
      </c>
      <c r="B46">
        <v>4957</v>
      </c>
      <c r="C46">
        <v>118378</v>
      </c>
      <c r="E46" t="str">
        <f t="shared" si="0"/>
        <v>Feb</v>
      </c>
      <c r="F46">
        <f t="shared" si="1"/>
        <v>4957</v>
      </c>
      <c r="G46">
        <f t="shared" si="2"/>
        <v>118378</v>
      </c>
    </row>
    <row r="47" spans="1:7" x14ac:dyDescent="0.3">
      <c r="A47" s="19" t="s">
        <v>615</v>
      </c>
      <c r="B47">
        <v>2893</v>
      </c>
      <c r="C47">
        <v>116122</v>
      </c>
      <c r="E47" t="str">
        <f t="shared" si="0"/>
        <v>Mar</v>
      </c>
      <c r="F47">
        <f t="shared" si="1"/>
        <v>2893</v>
      </c>
      <c r="G47">
        <f t="shared" si="2"/>
        <v>116122</v>
      </c>
    </row>
    <row r="48" spans="1:7" x14ac:dyDescent="0.3">
      <c r="A48" s="19" t="s">
        <v>616</v>
      </c>
      <c r="B48">
        <v>2352</v>
      </c>
      <c r="C48">
        <v>84980</v>
      </c>
      <c r="E48" t="str">
        <f t="shared" si="0"/>
        <v>Apr</v>
      </c>
      <c r="F48">
        <f t="shared" si="1"/>
        <v>2352</v>
      </c>
      <c r="G48">
        <f t="shared" si="2"/>
        <v>84980</v>
      </c>
    </row>
    <row r="49" spans="1:7" x14ac:dyDescent="0.3">
      <c r="A49" s="19" t="s">
        <v>617</v>
      </c>
      <c r="B49">
        <v>746</v>
      </c>
      <c r="C49">
        <v>97819</v>
      </c>
      <c r="E49" t="str">
        <f t="shared" si="0"/>
        <v>May</v>
      </c>
      <c r="F49">
        <f t="shared" si="1"/>
        <v>746</v>
      </c>
      <c r="G49">
        <f t="shared" si="2"/>
        <v>97819</v>
      </c>
    </row>
    <row r="50" spans="1:7" x14ac:dyDescent="0.3">
      <c r="A50" s="19" t="s">
        <v>618</v>
      </c>
      <c r="B50">
        <v>5337</v>
      </c>
      <c r="C50">
        <v>94795</v>
      </c>
      <c r="E50" t="str">
        <f t="shared" si="0"/>
        <v>Jun</v>
      </c>
      <c r="F50">
        <f t="shared" si="1"/>
        <v>5337</v>
      </c>
      <c r="G50">
        <f t="shared" si="2"/>
        <v>94795</v>
      </c>
    </row>
    <row r="51" spans="1:7" x14ac:dyDescent="0.3">
      <c r="A51" s="19" t="s">
        <v>619</v>
      </c>
      <c r="B51">
        <v>852</v>
      </c>
      <c r="C51">
        <v>155243</v>
      </c>
      <c r="E51" t="str">
        <f t="shared" si="0"/>
        <v>Jul</v>
      </c>
      <c r="F51">
        <f t="shared" si="1"/>
        <v>852</v>
      </c>
      <c r="G51">
        <f t="shared" si="2"/>
        <v>155243</v>
      </c>
    </row>
    <row r="52" spans="1:7" x14ac:dyDescent="0.3">
      <c r="A52" s="19" t="s">
        <v>620</v>
      </c>
      <c r="B52">
        <v>2232</v>
      </c>
      <c r="C52">
        <v>105486</v>
      </c>
      <c r="E52" t="str">
        <f t="shared" si="0"/>
        <v>Aug</v>
      </c>
      <c r="F52">
        <f t="shared" si="1"/>
        <v>2232</v>
      </c>
      <c r="G52">
        <f t="shared" si="2"/>
        <v>105486</v>
      </c>
    </row>
    <row r="53" spans="1:7" x14ac:dyDescent="0.3">
      <c r="A53" s="19" t="s">
        <v>621</v>
      </c>
      <c r="B53">
        <v>2373</v>
      </c>
      <c r="C53">
        <v>126540</v>
      </c>
      <c r="E53" t="str">
        <f t="shared" si="0"/>
        <v>Sep</v>
      </c>
      <c r="F53">
        <f t="shared" si="1"/>
        <v>2373</v>
      </c>
      <c r="G53">
        <f t="shared" si="2"/>
        <v>126540</v>
      </c>
    </row>
    <row r="54" spans="1:7" x14ac:dyDescent="0.3">
      <c r="A54" s="19" t="s">
        <v>622</v>
      </c>
      <c r="B54">
        <v>2772</v>
      </c>
      <c r="C54">
        <v>124159</v>
      </c>
      <c r="E54" t="str">
        <f t="shared" si="0"/>
        <v>Oct</v>
      </c>
      <c r="F54">
        <f t="shared" si="1"/>
        <v>2772</v>
      </c>
      <c r="G54">
        <f t="shared" si="2"/>
        <v>124159</v>
      </c>
    </row>
    <row r="55" spans="1:7" x14ac:dyDescent="0.3">
      <c r="A55" s="19" t="s">
        <v>623</v>
      </c>
      <c r="B55">
        <v>1838</v>
      </c>
      <c r="C55">
        <v>111943</v>
      </c>
      <c r="E55" t="str">
        <f t="shared" si="0"/>
        <v>Nov</v>
      </c>
      <c r="F55">
        <f t="shared" si="1"/>
        <v>1838</v>
      </c>
      <c r="G55">
        <f t="shared" si="2"/>
        <v>111943</v>
      </c>
    </row>
    <row r="56" spans="1:7" x14ac:dyDescent="0.3">
      <c r="A56" s="19" t="s">
        <v>624</v>
      </c>
      <c r="B56">
        <v>6962</v>
      </c>
      <c r="C56">
        <v>136002</v>
      </c>
      <c r="E56" t="str">
        <f t="shared" si="0"/>
        <v>Dec</v>
      </c>
      <c r="F56">
        <f t="shared" si="1"/>
        <v>6962</v>
      </c>
      <c r="G56">
        <f t="shared" si="2"/>
        <v>136002</v>
      </c>
    </row>
    <row r="147" spans="1:2" x14ac:dyDescent="0.3">
      <c r="A147" s="12" t="s">
        <v>582</v>
      </c>
    </row>
    <row r="148" spans="1:2" x14ac:dyDescent="0.3">
      <c r="A148" s="12" t="s">
        <v>556</v>
      </c>
      <c r="B148" t="s">
        <v>590</v>
      </c>
    </row>
    <row r="149" spans="1:2" x14ac:dyDescent="0.3">
      <c r="A149" s="11">
        <v>45446</v>
      </c>
      <c r="B149">
        <v>2.3491348994232664E-2</v>
      </c>
    </row>
    <row r="150" spans="1:2" x14ac:dyDescent="0.3">
      <c r="A150" s="11">
        <v>45453</v>
      </c>
      <c r="B150">
        <v>4.0530081660374974E-3</v>
      </c>
    </row>
    <row r="151" spans="1:2" x14ac:dyDescent="0.3">
      <c r="A151" s="11">
        <v>45460</v>
      </c>
      <c r="B151">
        <v>8.1535847453627231E-3</v>
      </c>
    </row>
    <row r="152" spans="1:2" x14ac:dyDescent="0.3">
      <c r="A152" s="11">
        <v>45467</v>
      </c>
      <c r="B152">
        <v>6.3510173036698994E-2</v>
      </c>
    </row>
    <row r="153" spans="1:2" x14ac:dyDescent="0.3">
      <c r="A153" s="11">
        <v>45474</v>
      </c>
      <c r="B153">
        <v>2.9088264703208797E-4</v>
      </c>
    </row>
    <row r="154" spans="1:2" x14ac:dyDescent="0.3">
      <c r="A154" s="11">
        <v>45481</v>
      </c>
      <c r="B154">
        <v>1.2276812319721568E-3</v>
      </c>
    </row>
    <row r="155" spans="1:2" x14ac:dyDescent="0.3">
      <c r="A155" s="11">
        <v>45488</v>
      </c>
      <c r="B155">
        <v>-4.9009939454794306E-4</v>
      </c>
    </row>
    <row r="156" spans="1:2" x14ac:dyDescent="0.3">
      <c r="A156" s="11">
        <v>45495</v>
      </c>
      <c r="B156">
        <v>3.2572737872501967E-3</v>
      </c>
    </row>
    <row r="157" spans="1:2" x14ac:dyDescent="0.3">
      <c r="A157" s="11">
        <v>45502</v>
      </c>
      <c r="B157">
        <v>-7.3097734889686784E-4</v>
      </c>
    </row>
    <row r="158" spans="1:2" x14ac:dyDescent="0.3">
      <c r="A158" s="11">
        <v>45509</v>
      </c>
      <c r="B158">
        <v>-1.5755714445670778E-3</v>
      </c>
    </row>
    <row r="159" spans="1:2" x14ac:dyDescent="0.3">
      <c r="A159" s="11">
        <v>45516</v>
      </c>
      <c r="B159">
        <v>4.3366318609156986E-3</v>
      </c>
    </row>
    <row r="160" spans="1:2" x14ac:dyDescent="0.3">
      <c r="A160" s="11">
        <v>45523</v>
      </c>
      <c r="B160">
        <v>5.7523759813836147E-3</v>
      </c>
    </row>
    <row r="161" spans="1:2" x14ac:dyDescent="0.3">
      <c r="A161" s="11">
        <v>45530</v>
      </c>
      <c r="B161">
        <v>9.7527544941747058E-5</v>
      </c>
    </row>
    <row r="162" spans="1:2" x14ac:dyDescent="0.3">
      <c r="A162" s="11">
        <v>45537</v>
      </c>
      <c r="B162">
        <v>2.1026918479944948E-3</v>
      </c>
    </row>
    <row r="163" spans="1:2" x14ac:dyDescent="0.3">
      <c r="A163" s="11">
        <v>45544</v>
      </c>
      <c r="B163">
        <v>4.6435400163889647E-3</v>
      </c>
    </row>
    <row r="164" spans="1:2" x14ac:dyDescent="0.3">
      <c r="A164" s="11">
        <v>45551</v>
      </c>
      <c r="B164">
        <v>2.0668041724136477E-4</v>
      </c>
    </row>
    <row r="165" spans="1:2" x14ac:dyDescent="0.3">
      <c r="A165" s="11">
        <v>45558</v>
      </c>
      <c r="B165">
        <v>-7.9248226299566635E-5</v>
      </c>
    </row>
    <row r="166" spans="1:2" x14ac:dyDescent="0.3">
      <c r="A166" s="11">
        <v>45565</v>
      </c>
      <c r="B166">
        <v>-3.9477485703195471E-4</v>
      </c>
    </row>
    <row r="167" spans="1:2" x14ac:dyDescent="0.3">
      <c r="A167" s="11">
        <v>45572</v>
      </c>
      <c r="B167">
        <v>4.3810281972675247E-3</v>
      </c>
    </row>
    <row r="168" spans="1:2" x14ac:dyDescent="0.3">
      <c r="A168" s="11">
        <v>45579</v>
      </c>
      <c r="B168">
        <v>1.8083871090552605E-3</v>
      </c>
    </row>
    <row r="169" spans="1:2" x14ac:dyDescent="0.3">
      <c r="A169" s="11">
        <v>45586</v>
      </c>
      <c r="B169">
        <v>1.8687212668142345E-2</v>
      </c>
    </row>
    <row r="170" spans="1:2" x14ac:dyDescent="0.3">
      <c r="A170" s="11">
        <v>45593</v>
      </c>
      <c r="B170">
        <v>1.8382090319876945E-3</v>
      </c>
    </row>
    <row r="171" spans="1:2" x14ac:dyDescent="0.3">
      <c r="A171" s="11">
        <v>45600</v>
      </c>
      <c r="B171">
        <v>1.6918035252172713E-3</v>
      </c>
    </row>
    <row r="172" spans="1:2" x14ac:dyDescent="0.3">
      <c r="A172" s="11">
        <v>45607</v>
      </c>
      <c r="B172">
        <v>-3.4250669665215861E-4</v>
      </c>
    </row>
    <row r="173" spans="1:2" x14ac:dyDescent="0.3">
      <c r="A173" s="11">
        <v>45614</v>
      </c>
      <c r="B173">
        <v>2.1248528096751631E-4</v>
      </c>
    </row>
    <row r="174" spans="1:2" x14ac:dyDescent="0.3">
      <c r="A174" s="11">
        <v>45621</v>
      </c>
      <c r="B174">
        <v>3.9565022381564839E-3</v>
      </c>
    </row>
    <row r="175" spans="1:2" x14ac:dyDescent="0.3">
      <c r="A175" s="11">
        <v>45628</v>
      </c>
      <c r="B175">
        <v>3.6277109484146308E-3</v>
      </c>
    </row>
    <row r="176" spans="1:2" x14ac:dyDescent="0.3">
      <c r="A176" s="11">
        <v>45635</v>
      </c>
      <c r="B176">
        <v>3.8307014117515761E-2</v>
      </c>
    </row>
    <row r="177" spans="1:2" x14ac:dyDescent="0.3">
      <c r="A177" s="11">
        <v>45642</v>
      </c>
      <c r="B177">
        <v>3.311568846722701E-3</v>
      </c>
    </row>
    <row r="178" spans="1:2" x14ac:dyDescent="0.3">
      <c r="A178" s="11">
        <v>45649</v>
      </c>
      <c r="B178">
        <v>7.8202834584935772E-3</v>
      </c>
    </row>
    <row r="179" spans="1:2" x14ac:dyDescent="0.3">
      <c r="A179" s="11">
        <v>45656</v>
      </c>
      <c r="B179">
        <v>4.6806929323118035E-3</v>
      </c>
    </row>
    <row r="180" spans="1:2" x14ac:dyDescent="0.3">
      <c r="A180" s="11">
        <v>45663</v>
      </c>
      <c r="B180">
        <v>6.4766839378238338E-3</v>
      </c>
    </row>
    <row r="181" spans="1:2" x14ac:dyDescent="0.3">
      <c r="A181" s="11">
        <v>45670</v>
      </c>
      <c r="B181">
        <v>1.3262186302564765E-3</v>
      </c>
    </row>
    <row r="182" spans="1:2" x14ac:dyDescent="0.3">
      <c r="A182" s="11">
        <v>45677</v>
      </c>
      <c r="B182">
        <v>8.9052952094934197E-4</v>
      </c>
    </row>
    <row r="183" spans="1:2" x14ac:dyDescent="0.3">
      <c r="A183" s="11">
        <v>45684</v>
      </c>
      <c r="B183">
        <v>2.7948348464241365E-3</v>
      </c>
    </row>
    <row r="184" spans="1:2" x14ac:dyDescent="0.3">
      <c r="A184" s="11">
        <v>45691</v>
      </c>
      <c r="B184">
        <v>5.5005257855530306E-3</v>
      </c>
    </row>
    <row r="185" spans="1:2" x14ac:dyDescent="0.3">
      <c r="A185" s="11">
        <v>45698</v>
      </c>
      <c r="B185">
        <v>2.9427518601934728E-3</v>
      </c>
    </row>
    <row r="186" spans="1:2" x14ac:dyDescent="0.3">
      <c r="A186" s="11">
        <v>45705</v>
      </c>
      <c r="B186">
        <v>1.5147617822744291E-2</v>
      </c>
    </row>
    <row r="187" spans="1:2" x14ac:dyDescent="0.3">
      <c r="A187" s="11">
        <v>45712</v>
      </c>
      <c r="B187">
        <v>7.4073109768798169E-3</v>
      </c>
    </row>
    <row r="188" spans="1:2" x14ac:dyDescent="0.3">
      <c r="A188" s="11">
        <v>45719</v>
      </c>
      <c r="B188">
        <v>-3.2435585380545735E-4</v>
      </c>
    </row>
    <row r="189" spans="1:2" x14ac:dyDescent="0.3">
      <c r="A189" s="11">
        <v>45726</v>
      </c>
      <c r="B189">
        <v>2.6639909400836752E-3</v>
      </c>
    </row>
    <row r="190" spans="1:2" x14ac:dyDescent="0.3">
      <c r="A190" s="11">
        <v>45733</v>
      </c>
      <c r="B190">
        <v>3.2619275185675578E-3</v>
      </c>
    </row>
    <row r="191" spans="1:2" x14ac:dyDescent="0.3">
      <c r="A191" s="11">
        <v>45740</v>
      </c>
      <c r="B191">
        <v>1.268716241173857E-3</v>
      </c>
    </row>
    <row r="192" spans="1:2" x14ac:dyDescent="0.3">
      <c r="A192" s="11">
        <v>45747</v>
      </c>
      <c r="B192">
        <v>1.3889264193260734E-3</v>
      </c>
    </row>
    <row r="193" spans="1:3" x14ac:dyDescent="0.3">
      <c r="A193" s="11">
        <v>45754</v>
      </c>
      <c r="B193">
        <v>1.0436528865268368E-2</v>
      </c>
    </row>
    <row r="194" spans="1:3" x14ac:dyDescent="0.3">
      <c r="A194" s="11">
        <v>45761</v>
      </c>
      <c r="B194">
        <v>-2.4750024750024749E-3</v>
      </c>
    </row>
    <row r="195" spans="1:3" x14ac:dyDescent="0.3">
      <c r="A195" s="11">
        <v>45768</v>
      </c>
      <c r="B195">
        <v>2.7690774864725927E-3</v>
      </c>
    </row>
    <row r="196" spans="1:3" x14ac:dyDescent="0.3">
      <c r="A196" s="11">
        <v>45775</v>
      </c>
      <c r="B196">
        <v>2.014855668727483E-3</v>
      </c>
    </row>
    <row r="197" spans="1:3" x14ac:dyDescent="0.3">
      <c r="A197" s="11">
        <v>45782</v>
      </c>
      <c r="B197">
        <v>8.0965664826031301E-4</v>
      </c>
    </row>
    <row r="198" spans="1:3" x14ac:dyDescent="0.3">
      <c r="A198" s="11">
        <v>45789</v>
      </c>
      <c r="B198">
        <v>1.1156186612576065E-3</v>
      </c>
    </row>
    <row r="201" spans="1:3" x14ac:dyDescent="0.3">
      <c r="B201" s="12" t="s">
        <v>591</v>
      </c>
    </row>
    <row r="202" spans="1:3" x14ac:dyDescent="0.3">
      <c r="A202" s="12" t="s">
        <v>1</v>
      </c>
      <c r="B202" t="s">
        <v>593</v>
      </c>
      <c r="C202" t="s">
        <v>583</v>
      </c>
    </row>
    <row r="203" spans="1:3" x14ac:dyDescent="0.3">
      <c r="A203" t="s">
        <v>40</v>
      </c>
      <c r="B203">
        <v>35557</v>
      </c>
      <c r="C203">
        <v>1379539</v>
      </c>
    </row>
    <row r="209" spans="1:3" x14ac:dyDescent="0.3">
      <c r="A209" s="12" t="s">
        <v>593</v>
      </c>
    </row>
    <row r="210" spans="1:3" x14ac:dyDescent="0.3">
      <c r="A210" s="12" t="s">
        <v>1</v>
      </c>
      <c r="B210" s="12" t="s">
        <v>556</v>
      </c>
      <c r="C210" t="s">
        <v>590</v>
      </c>
    </row>
    <row r="211" spans="1:3" x14ac:dyDescent="0.3">
      <c r="A211" t="s">
        <v>40</v>
      </c>
      <c r="B211" s="11">
        <v>45446</v>
      </c>
      <c r="C211">
        <v>1002</v>
      </c>
    </row>
    <row r="212" spans="1:3" x14ac:dyDescent="0.3">
      <c r="B212" s="11">
        <v>45453</v>
      </c>
      <c r="C212">
        <v>1283</v>
      </c>
    </row>
    <row r="213" spans="1:3" x14ac:dyDescent="0.3">
      <c r="B213" s="11">
        <v>45460</v>
      </c>
      <c r="C213">
        <v>1382</v>
      </c>
    </row>
    <row r="214" spans="1:3" x14ac:dyDescent="0.3">
      <c r="B214" s="11">
        <v>45467</v>
      </c>
      <c r="C214">
        <v>1670</v>
      </c>
    </row>
    <row r="215" spans="1:3" x14ac:dyDescent="0.3">
      <c r="B215" s="11">
        <v>45474</v>
      </c>
      <c r="C215">
        <v>64</v>
      </c>
    </row>
    <row r="216" spans="1:3" x14ac:dyDescent="0.3">
      <c r="B216" s="11">
        <v>45481</v>
      </c>
      <c r="C216">
        <v>309</v>
      </c>
    </row>
    <row r="217" spans="1:3" x14ac:dyDescent="0.3">
      <c r="B217" s="11">
        <v>45488</v>
      </c>
      <c r="C217">
        <v>-164</v>
      </c>
    </row>
    <row r="218" spans="1:3" x14ac:dyDescent="0.3">
      <c r="B218" s="11">
        <v>45495</v>
      </c>
      <c r="C218">
        <v>961</v>
      </c>
    </row>
    <row r="219" spans="1:3" x14ac:dyDescent="0.3">
      <c r="B219" s="11">
        <v>45502</v>
      </c>
      <c r="C219">
        <v>-318</v>
      </c>
    </row>
    <row r="220" spans="1:3" x14ac:dyDescent="0.3">
      <c r="B220" s="11">
        <v>45509</v>
      </c>
      <c r="C220">
        <v>-197</v>
      </c>
    </row>
    <row r="221" spans="1:3" x14ac:dyDescent="0.3">
      <c r="B221" s="11">
        <v>45516</v>
      </c>
      <c r="C221">
        <v>1334</v>
      </c>
    </row>
    <row r="222" spans="1:3" x14ac:dyDescent="0.3">
      <c r="B222" s="11">
        <v>45523</v>
      </c>
      <c r="C222">
        <v>1058</v>
      </c>
    </row>
    <row r="223" spans="1:3" x14ac:dyDescent="0.3">
      <c r="B223" s="11">
        <v>45530</v>
      </c>
      <c r="C223">
        <v>37</v>
      </c>
    </row>
    <row r="224" spans="1:3" x14ac:dyDescent="0.3">
      <c r="B224" s="11">
        <v>45537</v>
      </c>
      <c r="C224">
        <v>1045</v>
      </c>
    </row>
    <row r="225" spans="2:3" x14ac:dyDescent="0.3">
      <c r="B225" s="11">
        <v>45544</v>
      </c>
      <c r="C225">
        <v>1428</v>
      </c>
    </row>
    <row r="226" spans="2:3" x14ac:dyDescent="0.3">
      <c r="B226" s="11">
        <v>45551</v>
      </c>
      <c r="C226">
        <v>98</v>
      </c>
    </row>
    <row r="227" spans="2:3" x14ac:dyDescent="0.3">
      <c r="B227" s="11">
        <v>45558</v>
      </c>
      <c r="C227">
        <v>-19</v>
      </c>
    </row>
    <row r="228" spans="2:3" x14ac:dyDescent="0.3">
      <c r="B228" s="11">
        <v>45565</v>
      </c>
      <c r="C228">
        <v>-179</v>
      </c>
    </row>
    <row r="229" spans="2:3" x14ac:dyDescent="0.3">
      <c r="B229" s="11">
        <v>45572</v>
      </c>
      <c r="C229">
        <v>1662</v>
      </c>
    </row>
    <row r="230" spans="2:3" x14ac:dyDescent="0.3">
      <c r="B230" s="11">
        <v>45579</v>
      </c>
      <c r="C230">
        <v>285</v>
      </c>
    </row>
    <row r="231" spans="2:3" x14ac:dyDescent="0.3">
      <c r="B231" s="11">
        <v>45586</v>
      </c>
      <c r="C231">
        <v>439</v>
      </c>
    </row>
    <row r="232" spans="2:3" x14ac:dyDescent="0.3">
      <c r="B232" s="11">
        <v>45593</v>
      </c>
      <c r="C232">
        <v>386</v>
      </c>
    </row>
    <row r="233" spans="2:3" x14ac:dyDescent="0.3">
      <c r="B233" s="11">
        <v>45600</v>
      </c>
      <c r="C233">
        <v>540</v>
      </c>
    </row>
    <row r="234" spans="2:3" x14ac:dyDescent="0.3">
      <c r="B234" s="11">
        <v>45607</v>
      </c>
      <c r="C234">
        <v>-106</v>
      </c>
    </row>
    <row r="235" spans="2:3" x14ac:dyDescent="0.3">
      <c r="B235" s="11">
        <v>45614</v>
      </c>
      <c r="C235">
        <v>72</v>
      </c>
    </row>
    <row r="236" spans="2:3" x14ac:dyDescent="0.3">
      <c r="B236" s="11">
        <v>45621</v>
      </c>
      <c r="C236">
        <v>1332</v>
      </c>
    </row>
    <row r="237" spans="2:3" x14ac:dyDescent="0.3">
      <c r="B237" s="11">
        <v>45628</v>
      </c>
      <c r="C237">
        <v>1706</v>
      </c>
    </row>
    <row r="238" spans="2:3" x14ac:dyDescent="0.3">
      <c r="B238" s="11">
        <v>45635</v>
      </c>
      <c r="C238">
        <v>1373</v>
      </c>
    </row>
    <row r="239" spans="2:3" x14ac:dyDescent="0.3">
      <c r="B239" s="11">
        <v>45642</v>
      </c>
      <c r="C239">
        <v>1377</v>
      </c>
    </row>
    <row r="240" spans="2:3" x14ac:dyDescent="0.3">
      <c r="B240" s="11">
        <v>45649</v>
      </c>
      <c r="C240">
        <v>730</v>
      </c>
    </row>
    <row r="241" spans="2:3" x14ac:dyDescent="0.3">
      <c r="B241" s="11">
        <v>45656</v>
      </c>
      <c r="C241">
        <v>1776</v>
      </c>
    </row>
    <row r="242" spans="2:3" x14ac:dyDescent="0.3">
      <c r="B242" s="11">
        <v>45663</v>
      </c>
      <c r="C242">
        <v>620</v>
      </c>
    </row>
    <row r="243" spans="2:3" x14ac:dyDescent="0.3">
      <c r="B243" s="11">
        <v>45670</v>
      </c>
      <c r="C243">
        <v>298</v>
      </c>
    </row>
    <row r="244" spans="2:3" x14ac:dyDescent="0.3">
      <c r="B244" s="11">
        <v>45677</v>
      </c>
      <c r="C244">
        <v>427</v>
      </c>
    </row>
    <row r="245" spans="2:3" x14ac:dyDescent="0.3">
      <c r="B245" s="11">
        <v>45684</v>
      </c>
      <c r="C245">
        <v>898</v>
      </c>
    </row>
    <row r="246" spans="2:3" x14ac:dyDescent="0.3">
      <c r="B246" s="11">
        <v>45691</v>
      </c>
      <c r="C246">
        <v>748</v>
      </c>
    </row>
    <row r="247" spans="2:3" x14ac:dyDescent="0.3">
      <c r="B247" s="11">
        <v>45698</v>
      </c>
      <c r="C247">
        <v>912</v>
      </c>
    </row>
    <row r="248" spans="2:3" x14ac:dyDescent="0.3">
      <c r="B248" s="11">
        <v>45705</v>
      </c>
      <c r="C248">
        <v>1590</v>
      </c>
    </row>
    <row r="249" spans="2:3" x14ac:dyDescent="0.3">
      <c r="B249" s="11">
        <v>45712</v>
      </c>
      <c r="C249">
        <v>1707</v>
      </c>
    </row>
    <row r="250" spans="2:3" x14ac:dyDescent="0.3">
      <c r="B250" s="11">
        <v>45719</v>
      </c>
      <c r="C250">
        <v>-119</v>
      </c>
    </row>
    <row r="251" spans="2:3" x14ac:dyDescent="0.3">
      <c r="B251" s="11">
        <v>45726</v>
      </c>
      <c r="C251">
        <v>908</v>
      </c>
    </row>
    <row r="252" spans="2:3" x14ac:dyDescent="0.3">
      <c r="B252" s="11">
        <v>45733</v>
      </c>
      <c r="C252">
        <v>1116</v>
      </c>
    </row>
    <row r="253" spans="2:3" x14ac:dyDescent="0.3">
      <c r="B253" s="11">
        <v>45740</v>
      </c>
      <c r="C253">
        <v>474</v>
      </c>
    </row>
    <row r="254" spans="2:3" x14ac:dyDescent="0.3">
      <c r="B254" s="11">
        <v>45747</v>
      </c>
      <c r="C254">
        <v>514</v>
      </c>
    </row>
    <row r="255" spans="2:3" x14ac:dyDescent="0.3">
      <c r="B255" s="11">
        <v>45754</v>
      </c>
      <c r="C255">
        <v>1029</v>
      </c>
    </row>
    <row r="256" spans="2:3" x14ac:dyDescent="0.3">
      <c r="B256" s="11">
        <v>45761</v>
      </c>
      <c r="C256">
        <v>-175</v>
      </c>
    </row>
    <row r="257" spans="2:3" x14ac:dyDescent="0.3">
      <c r="B257" s="11">
        <v>45768</v>
      </c>
      <c r="C257">
        <v>1045</v>
      </c>
    </row>
    <row r="258" spans="2:3" x14ac:dyDescent="0.3">
      <c r="B258" s="11">
        <v>45775</v>
      </c>
      <c r="C258">
        <v>453</v>
      </c>
    </row>
    <row r="259" spans="2:3" x14ac:dyDescent="0.3">
      <c r="B259" s="11">
        <v>45782</v>
      </c>
      <c r="C259">
        <v>339</v>
      </c>
    </row>
    <row r="260" spans="2:3" x14ac:dyDescent="0.3">
      <c r="B260" s="11">
        <v>45789</v>
      </c>
      <c r="C260">
        <v>407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opLeftCell="B1" workbookViewId="0">
      <selection activeCell="E29" sqref="E29"/>
    </sheetView>
  </sheetViews>
  <sheetFormatPr defaultColWidth="14.44140625" defaultRowHeight="15" customHeight="1" x14ac:dyDescent="0.3"/>
  <cols>
    <col min="1" max="1" width="11.33203125" bestFit="1" customWidth="1"/>
    <col min="2" max="2" width="12.77734375" bestFit="1" customWidth="1"/>
    <col min="3" max="3" width="10.33203125" bestFit="1" customWidth="1"/>
    <col min="4" max="4" width="16.77734375" bestFit="1" customWidth="1"/>
    <col min="5" max="5" width="49.6640625" bestFit="1" customWidth="1"/>
    <col min="6" max="6" width="9.5546875" bestFit="1" customWidth="1"/>
    <col min="7" max="7" width="11" bestFit="1" customWidth="1"/>
    <col min="8" max="8" width="14.5546875" bestFit="1" customWidth="1"/>
    <col min="9" max="9" width="15.44140625" bestFit="1" customWidth="1"/>
    <col min="10" max="10" width="10.5546875" bestFit="1" customWidth="1"/>
    <col min="11" max="11" width="10.109375" bestFit="1" customWidth="1"/>
    <col min="12" max="12" width="29.77734375" bestFit="1" customWidth="1"/>
    <col min="13" max="13" width="20" bestFit="1" customWidth="1"/>
    <col min="14" max="26" width="8.6640625" customWidth="1"/>
  </cols>
  <sheetData>
    <row r="1" spans="1:13" ht="14.25" customHeight="1" x14ac:dyDescent="0.3">
      <c r="A1" s="10" t="s">
        <v>0</v>
      </c>
      <c r="B1" s="10" t="s">
        <v>1</v>
      </c>
      <c r="C1" s="10" t="s">
        <v>2</v>
      </c>
      <c r="D1" s="10" t="s">
        <v>3</v>
      </c>
      <c r="E1" s="10" t="s">
        <v>4</v>
      </c>
      <c r="F1" s="10" t="s">
        <v>5</v>
      </c>
      <c r="G1" s="10" t="s">
        <v>6</v>
      </c>
      <c r="H1" s="10" t="s">
        <v>7</v>
      </c>
      <c r="I1" s="10" t="s">
        <v>8</v>
      </c>
      <c r="J1" s="10" t="s">
        <v>9</v>
      </c>
      <c r="K1" s="10" t="s">
        <v>10</v>
      </c>
      <c r="L1" s="10" t="s">
        <v>11</v>
      </c>
      <c r="M1" s="10" t="s">
        <v>12</v>
      </c>
    </row>
    <row r="2" spans="1:13" ht="14.25" customHeight="1" x14ac:dyDescent="0.3">
      <c r="A2" s="1" t="s">
        <v>13</v>
      </c>
      <c r="B2" s="1" t="s">
        <v>14</v>
      </c>
      <c r="C2" s="1" t="s">
        <v>15</v>
      </c>
      <c r="D2" s="1" t="s">
        <v>16</v>
      </c>
      <c r="E2" s="1" t="s">
        <v>17</v>
      </c>
      <c r="F2" s="1">
        <v>1461</v>
      </c>
      <c r="G2" s="1">
        <v>184</v>
      </c>
      <c r="H2" s="1">
        <v>344</v>
      </c>
      <c r="I2" s="1">
        <v>21915</v>
      </c>
      <c r="J2" s="1">
        <v>21675</v>
      </c>
      <c r="K2" s="1">
        <v>15</v>
      </c>
      <c r="L2" s="1" t="s">
        <v>18</v>
      </c>
      <c r="M2" s="1" t="s">
        <v>19</v>
      </c>
    </row>
    <row r="3" spans="1:13" ht="14.25" customHeight="1" x14ac:dyDescent="0.3">
      <c r="A3" s="1" t="s">
        <v>20</v>
      </c>
      <c r="B3" s="1" t="s">
        <v>14</v>
      </c>
      <c r="C3" s="1" t="s">
        <v>21</v>
      </c>
      <c r="D3" s="1" t="s">
        <v>22</v>
      </c>
      <c r="E3" s="1" t="s">
        <v>23</v>
      </c>
      <c r="F3" s="1">
        <v>4054</v>
      </c>
      <c r="G3" s="1">
        <v>389</v>
      </c>
      <c r="H3" s="1">
        <v>493</v>
      </c>
      <c r="I3" s="1">
        <v>64864</v>
      </c>
      <c r="J3" s="1">
        <v>64383</v>
      </c>
      <c r="K3" s="1">
        <v>117</v>
      </c>
      <c r="L3" s="1" t="s">
        <v>24</v>
      </c>
      <c r="M3" s="1" t="s">
        <v>25</v>
      </c>
    </row>
    <row r="4" spans="1:13" ht="14.25" customHeight="1" x14ac:dyDescent="0.3">
      <c r="A4" s="1" t="s">
        <v>26</v>
      </c>
      <c r="B4" s="1" t="s">
        <v>27</v>
      </c>
      <c r="C4" s="1" t="s">
        <v>28</v>
      </c>
      <c r="D4" s="1" t="s">
        <v>16</v>
      </c>
      <c r="E4" s="1" t="s">
        <v>17</v>
      </c>
      <c r="F4" s="1">
        <v>2795</v>
      </c>
      <c r="G4" s="1">
        <v>105</v>
      </c>
      <c r="H4" s="1">
        <v>49</v>
      </c>
      <c r="I4" s="1">
        <v>53105</v>
      </c>
      <c r="J4" s="1">
        <v>52307</v>
      </c>
      <c r="K4" s="1">
        <v>204</v>
      </c>
      <c r="L4" s="1" t="s">
        <v>29</v>
      </c>
      <c r="M4" s="1" t="s">
        <v>19</v>
      </c>
    </row>
    <row r="5" spans="1:13" ht="14.25" customHeight="1" x14ac:dyDescent="0.3">
      <c r="A5" s="1" t="s">
        <v>30</v>
      </c>
      <c r="B5" s="1" t="s">
        <v>31</v>
      </c>
      <c r="C5" s="1" t="s">
        <v>32</v>
      </c>
      <c r="D5" s="1" t="s">
        <v>33</v>
      </c>
      <c r="E5" s="1" t="s">
        <v>34</v>
      </c>
      <c r="F5" s="1">
        <v>2404</v>
      </c>
      <c r="G5" s="1">
        <v>363</v>
      </c>
      <c r="H5" s="1">
        <v>138</v>
      </c>
      <c r="I5" s="1">
        <v>19232</v>
      </c>
      <c r="J5" s="1">
        <v>18636</v>
      </c>
      <c r="K5" s="1">
        <v>128</v>
      </c>
      <c r="L5" s="1" t="s">
        <v>18</v>
      </c>
      <c r="M5" s="1" t="s">
        <v>19</v>
      </c>
    </row>
    <row r="6" spans="1:13" ht="14.25" customHeight="1" x14ac:dyDescent="0.3">
      <c r="A6" s="1" t="s">
        <v>35</v>
      </c>
      <c r="B6" s="1" t="s">
        <v>27</v>
      </c>
      <c r="C6" s="1" t="s">
        <v>36</v>
      </c>
      <c r="D6" s="1" t="s">
        <v>16</v>
      </c>
      <c r="E6" s="1" t="s">
        <v>17</v>
      </c>
      <c r="F6" s="1">
        <v>3557</v>
      </c>
      <c r="G6" s="1">
        <v>687</v>
      </c>
      <c r="H6" s="1">
        <v>424</v>
      </c>
      <c r="I6" s="1">
        <v>71140</v>
      </c>
      <c r="J6" s="1">
        <v>70701</v>
      </c>
      <c r="K6" s="1">
        <v>224</v>
      </c>
      <c r="L6" s="1" t="s">
        <v>37</v>
      </c>
      <c r="M6" s="1" t="s">
        <v>38</v>
      </c>
    </row>
    <row r="7" spans="1:13" ht="14.25" customHeight="1" x14ac:dyDescent="0.3">
      <c r="A7" s="1" t="s">
        <v>39</v>
      </c>
      <c r="B7" s="1" t="s">
        <v>40</v>
      </c>
      <c r="C7" s="1" t="s">
        <v>41</v>
      </c>
      <c r="D7" s="1" t="s">
        <v>42</v>
      </c>
      <c r="E7" s="1" t="s">
        <v>43</v>
      </c>
      <c r="F7" s="1">
        <v>2945</v>
      </c>
      <c r="G7" s="1">
        <v>930</v>
      </c>
      <c r="H7" s="1">
        <v>355</v>
      </c>
      <c r="I7" s="1">
        <v>23560</v>
      </c>
      <c r="J7" s="1">
        <v>23275</v>
      </c>
      <c r="K7" s="1">
        <v>256</v>
      </c>
      <c r="L7" s="1" t="s">
        <v>44</v>
      </c>
      <c r="M7" s="1" t="s">
        <v>25</v>
      </c>
    </row>
    <row r="8" spans="1:13" ht="14.25" customHeight="1" x14ac:dyDescent="0.3">
      <c r="A8" s="1" t="s">
        <v>45</v>
      </c>
      <c r="B8" s="1" t="s">
        <v>14</v>
      </c>
      <c r="C8" s="1" t="s">
        <v>46</v>
      </c>
      <c r="D8" s="1" t="s">
        <v>42</v>
      </c>
      <c r="E8" s="1" t="s">
        <v>43</v>
      </c>
      <c r="F8" s="1">
        <v>3860</v>
      </c>
      <c r="G8" s="1">
        <v>201</v>
      </c>
      <c r="H8" s="1">
        <v>279</v>
      </c>
      <c r="I8" s="1">
        <v>61760</v>
      </c>
      <c r="J8" s="1">
        <v>61660</v>
      </c>
      <c r="K8" s="1">
        <v>235</v>
      </c>
      <c r="L8" s="1" t="s">
        <v>44</v>
      </c>
      <c r="M8" s="1" t="s">
        <v>38</v>
      </c>
    </row>
    <row r="9" spans="1:13" ht="14.25" customHeight="1" x14ac:dyDescent="0.3">
      <c r="A9" s="1" t="s">
        <v>47</v>
      </c>
      <c r="B9" s="1" t="s">
        <v>27</v>
      </c>
      <c r="C9" s="1" t="s">
        <v>48</v>
      </c>
      <c r="D9" s="1" t="s">
        <v>49</v>
      </c>
      <c r="E9" s="1" t="s">
        <v>50</v>
      </c>
      <c r="F9" s="1">
        <v>3929</v>
      </c>
      <c r="G9" s="1">
        <v>262</v>
      </c>
      <c r="H9" s="1">
        <v>278</v>
      </c>
      <c r="I9" s="1">
        <v>43219</v>
      </c>
      <c r="J9" s="1">
        <v>42841</v>
      </c>
      <c r="K9" s="1">
        <v>39</v>
      </c>
      <c r="L9" s="1" t="s">
        <v>29</v>
      </c>
      <c r="M9" s="1" t="s">
        <v>38</v>
      </c>
    </row>
    <row r="10" spans="1:13" ht="14.25" customHeight="1" x14ac:dyDescent="0.3">
      <c r="A10" s="1" t="s">
        <v>51</v>
      </c>
      <c r="B10" s="1" t="s">
        <v>40</v>
      </c>
      <c r="C10" s="1" t="s">
        <v>52</v>
      </c>
      <c r="D10" s="1" t="s">
        <v>22</v>
      </c>
      <c r="E10" s="1" t="s">
        <v>23</v>
      </c>
      <c r="F10" s="1">
        <v>3784</v>
      </c>
      <c r="G10" s="1">
        <v>808</v>
      </c>
      <c r="H10" s="1">
        <v>404</v>
      </c>
      <c r="I10" s="1">
        <v>56760</v>
      </c>
      <c r="J10" s="1">
        <v>56343</v>
      </c>
      <c r="K10" s="1">
        <v>131</v>
      </c>
      <c r="L10" s="1" t="s">
        <v>29</v>
      </c>
      <c r="M10" s="1" t="s">
        <v>38</v>
      </c>
    </row>
    <row r="11" spans="1:13" ht="14.25" customHeight="1" x14ac:dyDescent="0.3">
      <c r="A11" s="1" t="s">
        <v>53</v>
      </c>
      <c r="B11" s="1" t="s">
        <v>40</v>
      </c>
      <c r="C11" s="1" t="s">
        <v>54</v>
      </c>
      <c r="D11" s="1" t="s">
        <v>49</v>
      </c>
      <c r="E11" s="1" t="s">
        <v>50</v>
      </c>
      <c r="F11" s="1">
        <v>4241</v>
      </c>
      <c r="G11" s="1">
        <v>902</v>
      </c>
      <c r="H11" s="1">
        <v>47</v>
      </c>
      <c r="I11" s="1">
        <v>72097</v>
      </c>
      <c r="J11" s="1">
        <v>71598</v>
      </c>
      <c r="K11" s="1">
        <v>167</v>
      </c>
      <c r="L11" s="1" t="s">
        <v>44</v>
      </c>
      <c r="M11" s="1" t="s">
        <v>55</v>
      </c>
    </row>
    <row r="12" spans="1:13" ht="14.25" customHeight="1" x14ac:dyDescent="0.3">
      <c r="A12" s="1" t="s">
        <v>56</v>
      </c>
      <c r="B12" s="1" t="s">
        <v>31</v>
      </c>
      <c r="C12" s="1" t="s">
        <v>57</v>
      </c>
      <c r="D12" s="1" t="s">
        <v>33</v>
      </c>
      <c r="E12" s="1" t="s">
        <v>34</v>
      </c>
      <c r="F12" s="1">
        <v>1792</v>
      </c>
      <c r="G12" s="1">
        <v>614</v>
      </c>
      <c r="H12" s="1">
        <v>497</v>
      </c>
      <c r="I12" s="1">
        <v>25088</v>
      </c>
      <c r="J12" s="1">
        <v>24675</v>
      </c>
      <c r="K12" s="1">
        <v>65</v>
      </c>
      <c r="L12" s="1" t="s">
        <v>58</v>
      </c>
      <c r="M12" s="1" t="s">
        <v>19</v>
      </c>
    </row>
    <row r="13" spans="1:13" ht="14.25" customHeight="1" x14ac:dyDescent="0.3">
      <c r="A13" s="1" t="s">
        <v>59</v>
      </c>
      <c r="B13" s="1" t="s">
        <v>40</v>
      </c>
      <c r="C13" s="1" t="s">
        <v>60</v>
      </c>
      <c r="D13" s="1" t="s">
        <v>16</v>
      </c>
      <c r="E13" s="1" t="s">
        <v>17</v>
      </c>
      <c r="F13" s="1">
        <v>1946</v>
      </c>
      <c r="G13" s="1">
        <v>686</v>
      </c>
      <c r="H13" s="1">
        <v>377</v>
      </c>
      <c r="I13" s="1">
        <v>23352</v>
      </c>
      <c r="J13" s="1">
        <v>22982</v>
      </c>
      <c r="K13" s="1">
        <v>213</v>
      </c>
      <c r="L13" s="1" t="s">
        <v>61</v>
      </c>
      <c r="M13" s="1" t="s">
        <v>38</v>
      </c>
    </row>
    <row r="14" spans="1:13" ht="14.25" customHeight="1" x14ac:dyDescent="0.3">
      <c r="A14" s="1" t="s">
        <v>62</v>
      </c>
      <c r="B14" s="1" t="s">
        <v>27</v>
      </c>
      <c r="C14" s="1" t="s">
        <v>63</v>
      </c>
      <c r="D14" s="1" t="s">
        <v>42</v>
      </c>
      <c r="E14" s="1" t="s">
        <v>43</v>
      </c>
      <c r="F14" s="1">
        <v>1171</v>
      </c>
      <c r="G14" s="1">
        <v>286</v>
      </c>
      <c r="H14" s="1">
        <v>231</v>
      </c>
      <c r="I14" s="1">
        <v>22249</v>
      </c>
      <c r="J14" s="1">
        <v>21282</v>
      </c>
      <c r="K14" s="1">
        <v>114</v>
      </c>
      <c r="L14" s="1" t="s">
        <v>24</v>
      </c>
      <c r="M14" s="1" t="s">
        <v>55</v>
      </c>
    </row>
    <row r="15" spans="1:13" ht="14.25" customHeight="1" x14ac:dyDescent="0.3">
      <c r="A15" s="1" t="s">
        <v>64</v>
      </c>
      <c r="B15" s="1" t="s">
        <v>40</v>
      </c>
      <c r="C15" s="1" t="s">
        <v>65</v>
      </c>
      <c r="D15" s="1" t="s">
        <v>33</v>
      </c>
      <c r="E15" s="1" t="s">
        <v>34</v>
      </c>
      <c r="F15" s="1">
        <v>4242</v>
      </c>
      <c r="G15" s="1">
        <v>555</v>
      </c>
      <c r="H15" s="1">
        <v>131</v>
      </c>
      <c r="I15" s="1">
        <v>33936</v>
      </c>
      <c r="J15" s="1">
        <v>33802</v>
      </c>
      <c r="K15" s="1">
        <v>265</v>
      </c>
      <c r="L15" s="1" t="s">
        <v>66</v>
      </c>
      <c r="M15" s="1" t="s">
        <v>38</v>
      </c>
    </row>
    <row r="16" spans="1:13" ht="14.25" customHeight="1" x14ac:dyDescent="0.3">
      <c r="A16" s="1" t="s">
        <v>67</v>
      </c>
      <c r="B16" s="1" t="s">
        <v>40</v>
      </c>
      <c r="C16" s="1" t="s">
        <v>68</v>
      </c>
      <c r="D16" s="1" t="s">
        <v>69</v>
      </c>
      <c r="E16" s="1" t="s">
        <v>70</v>
      </c>
      <c r="F16" s="1">
        <v>3888</v>
      </c>
      <c r="G16" s="1">
        <v>604</v>
      </c>
      <c r="H16" s="1">
        <v>128</v>
      </c>
      <c r="I16" s="1">
        <v>77760</v>
      </c>
      <c r="J16" s="1">
        <v>77167</v>
      </c>
      <c r="K16" s="1">
        <v>20</v>
      </c>
      <c r="L16" s="1" t="s">
        <v>71</v>
      </c>
      <c r="M16" s="1" t="s">
        <v>19</v>
      </c>
    </row>
    <row r="17" spans="1:13" ht="14.25" customHeight="1" x14ac:dyDescent="0.3">
      <c r="A17" s="1" t="s">
        <v>72</v>
      </c>
      <c r="B17" s="1" t="s">
        <v>40</v>
      </c>
      <c r="C17" s="1" t="s">
        <v>73</v>
      </c>
      <c r="D17" s="1" t="s">
        <v>22</v>
      </c>
      <c r="E17" s="1" t="s">
        <v>23</v>
      </c>
      <c r="F17" s="1">
        <v>3452</v>
      </c>
      <c r="G17" s="1">
        <v>377</v>
      </c>
      <c r="H17" s="1">
        <v>360</v>
      </c>
      <c r="I17" s="1">
        <v>55232</v>
      </c>
      <c r="J17" s="1">
        <v>55075</v>
      </c>
      <c r="K17" s="1">
        <v>87</v>
      </c>
      <c r="L17" s="1" t="s">
        <v>74</v>
      </c>
      <c r="M17" s="1" t="s">
        <v>38</v>
      </c>
    </row>
    <row r="18" spans="1:13" ht="14.25" customHeight="1" x14ac:dyDescent="0.3">
      <c r="A18" s="1" t="s">
        <v>75</v>
      </c>
      <c r="B18" s="1" t="s">
        <v>40</v>
      </c>
      <c r="C18" s="1" t="s">
        <v>76</v>
      </c>
      <c r="D18" s="1" t="s">
        <v>22</v>
      </c>
      <c r="E18" s="1" t="s">
        <v>23</v>
      </c>
      <c r="F18" s="1">
        <v>4441</v>
      </c>
      <c r="G18" s="1">
        <v>511</v>
      </c>
      <c r="H18" s="1">
        <v>70</v>
      </c>
      <c r="I18" s="1">
        <v>53292</v>
      </c>
      <c r="J18" s="1">
        <v>53082</v>
      </c>
      <c r="K18" s="1">
        <v>159</v>
      </c>
      <c r="L18" s="1" t="s">
        <v>77</v>
      </c>
      <c r="M18" s="1" t="s">
        <v>38</v>
      </c>
    </row>
    <row r="19" spans="1:13" ht="14.25" customHeight="1" x14ac:dyDescent="0.3">
      <c r="A19" s="1" t="s">
        <v>78</v>
      </c>
      <c r="B19" s="1" t="s">
        <v>31</v>
      </c>
      <c r="C19" s="1" t="s">
        <v>79</v>
      </c>
      <c r="D19" s="1" t="s">
        <v>16</v>
      </c>
      <c r="E19" s="1" t="s">
        <v>17</v>
      </c>
      <c r="F19" s="1">
        <v>3000</v>
      </c>
      <c r="G19" s="1">
        <v>382</v>
      </c>
      <c r="H19" s="1">
        <v>325</v>
      </c>
      <c r="I19" s="1">
        <v>36000</v>
      </c>
      <c r="J19" s="1">
        <v>35819</v>
      </c>
      <c r="K19" s="1">
        <v>19</v>
      </c>
      <c r="L19" s="1" t="s">
        <v>58</v>
      </c>
      <c r="M19" s="1" t="s">
        <v>25</v>
      </c>
    </row>
    <row r="20" spans="1:13" ht="14.25" customHeight="1" x14ac:dyDescent="0.3">
      <c r="A20" s="1" t="s">
        <v>80</v>
      </c>
      <c r="B20" s="1" t="s">
        <v>31</v>
      </c>
      <c r="C20" s="1" t="s">
        <v>81</v>
      </c>
      <c r="D20" s="1" t="s">
        <v>69</v>
      </c>
      <c r="E20" s="1" t="s">
        <v>70</v>
      </c>
      <c r="F20" s="1">
        <v>1071</v>
      </c>
      <c r="G20" s="1">
        <v>519</v>
      </c>
      <c r="H20" s="1">
        <v>22</v>
      </c>
      <c r="I20" s="1">
        <v>16065</v>
      </c>
      <c r="J20" s="1">
        <v>15865</v>
      </c>
      <c r="K20" s="1">
        <v>103</v>
      </c>
      <c r="L20" s="1" t="s">
        <v>82</v>
      </c>
      <c r="M20" s="1" t="s">
        <v>38</v>
      </c>
    </row>
    <row r="21" spans="1:13" ht="14.25" customHeight="1" x14ac:dyDescent="0.3">
      <c r="A21" s="1" t="s">
        <v>83</v>
      </c>
      <c r="B21" s="1" t="s">
        <v>31</v>
      </c>
      <c r="C21" s="1" t="s">
        <v>84</v>
      </c>
      <c r="D21" s="1" t="s">
        <v>42</v>
      </c>
      <c r="E21" s="1" t="s">
        <v>43</v>
      </c>
      <c r="F21" s="1">
        <v>4054</v>
      </c>
      <c r="G21" s="1">
        <v>488</v>
      </c>
      <c r="H21" s="1">
        <v>373</v>
      </c>
      <c r="I21" s="1">
        <v>77026</v>
      </c>
      <c r="J21" s="1">
        <v>76881</v>
      </c>
      <c r="K21" s="1">
        <v>25</v>
      </c>
      <c r="L21" s="1" t="s">
        <v>29</v>
      </c>
      <c r="M21" s="1" t="s">
        <v>38</v>
      </c>
    </row>
    <row r="22" spans="1:13" ht="14.25" customHeight="1" x14ac:dyDescent="0.3">
      <c r="A22" s="1" t="s">
        <v>85</v>
      </c>
      <c r="B22" s="1" t="s">
        <v>31</v>
      </c>
      <c r="C22" s="1" t="s">
        <v>86</v>
      </c>
      <c r="D22" s="1" t="s">
        <v>16</v>
      </c>
      <c r="E22" s="1" t="s">
        <v>17</v>
      </c>
      <c r="F22" s="1">
        <v>4838</v>
      </c>
      <c r="G22" s="1">
        <v>640</v>
      </c>
      <c r="H22" s="1">
        <v>128</v>
      </c>
      <c r="I22" s="1">
        <v>72570</v>
      </c>
      <c r="J22" s="1">
        <v>72396</v>
      </c>
      <c r="K22" s="1">
        <v>83</v>
      </c>
      <c r="L22" s="1" t="s">
        <v>87</v>
      </c>
      <c r="M22" s="1" t="s">
        <v>38</v>
      </c>
    </row>
    <row r="23" spans="1:13" ht="14.25" customHeight="1" x14ac:dyDescent="0.3">
      <c r="A23" s="1" t="s">
        <v>88</v>
      </c>
      <c r="B23" s="1" t="s">
        <v>40</v>
      </c>
      <c r="C23" s="1" t="s">
        <v>89</v>
      </c>
      <c r="D23" s="1" t="s">
        <v>22</v>
      </c>
      <c r="E23" s="1" t="s">
        <v>23</v>
      </c>
      <c r="F23" s="1">
        <v>1570</v>
      </c>
      <c r="G23" s="1">
        <v>187</v>
      </c>
      <c r="H23" s="1">
        <v>260</v>
      </c>
      <c r="I23" s="1">
        <v>25120</v>
      </c>
      <c r="J23" s="1">
        <v>24613</v>
      </c>
      <c r="K23" s="1">
        <v>133</v>
      </c>
      <c r="L23" s="1" t="s">
        <v>18</v>
      </c>
      <c r="M23" s="1" t="s">
        <v>55</v>
      </c>
    </row>
    <row r="24" spans="1:13" ht="14.25" customHeight="1" x14ac:dyDescent="0.3">
      <c r="A24" s="1" t="s">
        <v>90</v>
      </c>
      <c r="B24" s="1" t="s">
        <v>40</v>
      </c>
      <c r="C24" s="1" t="s">
        <v>91</v>
      </c>
      <c r="D24" s="1" t="s">
        <v>69</v>
      </c>
      <c r="E24" s="1" t="s">
        <v>70</v>
      </c>
      <c r="F24" s="1">
        <v>1606</v>
      </c>
      <c r="G24" s="1">
        <v>547</v>
      </c>
      <c r="H24" s="1">
        <v>316</v>
      </c>
      <c r="I24" s="1">
        <v>32120</v>
      </c>
      <c r="J24" s="1">
        <v>31736</v>
      </c>
      <c r="K24" s="1">
        <v>225</v>
      </c>
      <c r="L24" s="1" t="s">
        <v>18</v>
      </c>
      <c r="M24" s="1" t="s">
        <v>38</v>
      </c>
    </row>
    <row r="25" spans="1:13" ht="14.25" customHeight="1" x14ac:dyDescent="0.3">
      <c r="A25" s="1" t="s">
        <v>92</v>
      </c>
      <c r="B25" s="1" t="s">
        <v>40</v>
      </c>
      <c r="C25" s="1" t="s">
        <v>93</v>
      </c>
      <c r="D25" s="1" t="s">
        <v>69</v>
      </c>
      <c r="E25" s="1" t="s">
        <v>70</v>
      </c>
      <c r="F25" s="1">
        <v>3961</v>
      </c>
      <c r="G25" s="1">
        <v>761</v>
      </c>
      <c r="H25" s="1">
        <v>131</v>
      </c>
      <c r="I25" s="1">
        <v>67337</v>
      </c>
      <c r="J25" s="1">
        <v>66615</v>
      </c>
      <c r="K25" s="1">
        <v>161</v>
      </c>
      <c r="L25" s="1" t="s">
        <v>44</v>
      </c>
      <c r="M25" s="1" t="s">
        <v>25</v>
      </c>
    </row>
    <row r="26" spans="1:13" ht="14.25" customHeight="1" x14ac:dyDescent="0.3">
      <c r="A26" s="1" t="s">
        <v>94</v>
      </c>
      <c r="B26" s="1" t="s">
        <v>14</v>
      </c>
      <c r="C26" s="1" t="s">
        <v>95</v>
      </c>
      <c r="D26" s="1" t="s">
        <v>42</v>
      </c>
      <c r="E26" s="1" t="s">
        <v>43</v>
      </c>
      <c r="F26" s="1">
        <v>3128</v>
      </c>
      <c r="G26" s="1">
        <v>211</v>
      </c>
      <c r="H26" s="1">
        <v>197</v>
      </c>
      <c r="I26" s="1">
        <v>59432</v>
      </c>
      <c r="J26" s="1">
        <v>59182</v>
      </c>
      <c r="K26" s="1">
        <v>238</v>
      </c>
      <c r="L26" s="1" t="s">
        <v>61</v>
      </c>
      <c r="M26" s="1" t="s">
        <v>19</v>
      </c>
    </row>
    <row r="27" spans="1:13" ht="14.25" customHeight="1" x14ac:dyDescent="0.3">
      <c r="A27" s="1" t="s">
        <v>96</v>
      </c>
      <c r="B27" s="1" t="s">
        <v>27</v>
      </c>
      <c r="C27" s="1" t="s">
        <v>97</v>
      </c>
      <c r="D27" s="1" t="s">
        <v>16</v>
      </c>
      <c r="E27" s="1" t="s">
        <v>17</v>
      </c>
      <c r="F27" s="1">
        <v>3009</v>
      </c>
      <c r="G27" s="1">
        <v>413</v>
      </c>
      <c r="H27" s="1">
        <v>358</v>
      </c>
      <c r="I27" s="1">
        <v>42126</v>
      </c>
      <c r="J27" s="1">
        <v>41309</v>
      </c>
      <c r="K27" s="1">
        <v>211</v>
      </c>
      <c r="L27" s="1" t="s">
        <v>18</v>
      </c>
      <c r="M27" s="1" t="s">
        <v>25</v>
      </c>
    </row>
    <row r="28" spans="1:13" ht="14.25" customHeight="1" x14ac:dyDescent="0.3">
      <c r="A28" s="1" t="s">
        <v>98</v>
      </c>
      <c r="B28" s="1" t="s">
        <v>27</v>
      </c>
      <c r="C28" s="1" t="s">
        <v>99</v>
      </c>
      <c r="D28" s="1" t="s">
        <v>22</v>
      </c>
      <c r="E28" s="1" t="s">
        <v>23</v>
      </c>
      <c r="F28" s="1">
        <v>2076</v>
      </c>
      <c r="G28" s="1">
        <v>195</v>
      </c>
      <c r="H28" s="1">
        <v>104</v>
      </c>
      <c r="I28" s="1">
        <v>33216</v>
      </c>
      <c r="J28" s="1">
        <v>32244</v>
      </c>
      <c r="K28" s="1">
        <v>51</v>
      </c>
      <c r="L28" s="1" t="s">
        <v>44</v>
      </c>
      <c r="M28" s="1" t="s">
        <v>55</v>
      </c>
    </row>
    <row r="29" spans="1:13" ht="14.25" customHeight="1" x14ac:dyDescent="0.3">
      <c r="A29" s="1" t="s">
        <v>100</v>
      </c>
      <c r="B29" s="1" t="s">
        <v>31</v>
      </c>
      <c r="C29" s="1" t="s">
        <v>101</v>
      </c>
      <c r="D29" s="1" t="s">
        <v>69</v>
      </c>
      <c r="E29" s="1" t="s">
        <v>70</v>
      </c>
      <c r="F29" s="1">
        <v>432</v>
      </c>
      <c r="G29" s="1">
        <v>624</v>
      </c>
      <c r="H29" s="1">
        <v>123</v>
      </c>
      <c r="I29" s="1">
        <v>6912</v>
      </c>
      <c r="J29" s="1">
        <v>6259</v>
      </c>
      <c r="K29" s="1">
        <v>79</v>
      </c>
      <c r="L29" s="1" t="s">
        <v>102</v>
      </c>
      <c r="M29" s="1" t="s">
        <v>25</v>
      </c>
    </row>
    <row r="30" spans="1:13" ht="14.25" customHeight="1" x14ac:dyDescent="0.3">
      <c r="A30" s="1" t="s">
        <v>103</v>
      </c>
      <c r="B30" s="1" t="s">
        <v>31</v>
      </c>
      <c r="C30" s="1" t="s">
        <v>104</v>
      </c>
      <c r="D30" s="1" t="s">
        <v>42</v>
      </c>
      <c r="E30" s="1" t="s">
        <v>43</v>
      </c>
      <c r="F30" s="1">
        <v>2566</v>
      </c>
      <c r="G30" s="1">
        <v>118</v>
      </c>
      <c r="H30" s="1">
        <v>37</v>
      </c>
      <c r="I30" s="1">
        <v>12830</v>
      </c>
      <c r="J30" s="1">
        <v>12264</v>
      </c>
      <c r="K30" s="1">
        <v>221</v>
      </c>
      <c r="L30" s="1" t="s">
        <v>105</v>
      </c>
      <c r="M30" s="1" t="s">
        <v>38</v>
      </c>
    </row>
    <row r="31" spans="1:13" ht="14.25" customHeight="1" x14ac:dyDescent="0.3">
      <c r="A31" s="1" t="s">
        <v>106</v>
      </c>
      <c r="B31" s="1" t="s">
        <v>31</v>
      </c>
      <c r="C31" s="1" t="s">
        <v>107</v>
      </c>
      <c r="D31" s="1" t="s">
        <v>69</v>
      </c>
      <c r="E31" s="1" t="s">
        <v>70</v>
      </c>
      <c r="F31" s="1">
        <v>3095</v>
      </c>
      <c r="G31" s="1">
        <v>39</v>
      </c>
      <c r="H31" s="1">
        <v>78</v>
      </c>
      <c r="I31" s="1">
        <v>55710</v>
      </c>
      <c r="J31" s="1">
        <v>54808</v>
      </c>
      <c r="K31" s="1">
        <v>93</v>
      </c>
      <c r="L31" s="1" t="s">
        <v>18</v>
      </c>
      <c r="M31" s="1" t="s">
        <v>55</v>
      </c>
    </row>
    <row r="32" spans="1:13" ht="14.25" customHeight="1" x14ac:dyDescent="0.3">
      <c r="A32" s="1" t="s">
        <v>108</v>
      </c>
      <c r="B32" s="1" t="s">
        <v>31</v>
      </c>
      <c r="C32" s="1" t="s">
        <v>109</v>
      </c>
      <c r="D32" s="1" t="s">
        <v>22</v>
      </c>
      <c r="E32" s="1" t="s">
        <v>23</v>
      </c>
      <c r="F32" s="1">
        <v>438</v>
      </c>
      <c r="G32" s="1">
        <v>153</v>
      </c>
      <c r="H32" s="1">
        <v>275</v>
      </c>
      <c r="I32" s="1">
        <v>3066</v>
      </c>
      <c r="J32" s="1">
        <v>2701</v>
      </c>
      <c r="K32" s="1">
        <v>282</v>
      </c>
      <c r="L32" s="1" t="s">
        <v>44</v>
      </c>
      <c r="M32" s="1" t="s">
        <v>55</v>
      </c>
    </row>
    <row r="33" spans="1:13" ht="14.25" customHeight="1" x14ac:dyDescent="0.3">
      <c r="A33" s="1" t="s">
        <v>110</v>
      </c>
      <c r="B33" s="1" t="s">
        <v>14</v>
      </c>
      <c r="C33" s="1" t="s">
        <v>111</v>
      </c>
      <c r="D33" s="1" t="s">
        <v>42</v>
      </c>
      <c r="E33" s="1" t="s">
        <v>43</v>
      </c>
      <c r="F33" s="1">
        <v>2278</v>
      </c>
      <c r="G33" s="1">
        <v>10</v>
      </c>
      <c r="H33" s="1">
        <v>321</v>
      </c>
      <c r="I33" s="1">
        <v>13668</v>
      </c>
      <c r="J33" s="1">
        <v>12676</v>
      </c>
      <c r="K33" s="1">
        <v>275</v>
      </c>
      <c r="L33" s="1" t="s">
        <v>105</v>
      </c>
      <c r="M33" s="1" t="s">
        <v>55</v>
      </c>
    </row>
    <row r="34" spans="1:13" ht="14.25" customHeight="1" x14ac:dyDescent="0.3">
      <c r="A34" s="1" t="s">
        <v>112</v>
      </c>
      <c r="B34" s="1" t="s">
        <v>40</v>
      </c>
      <c r="C34" s="1" t="s">
        <v>113</v>
      </c>
      <c r="D34" s="1" t="s">
        <v>49</v>
      </c>
      <c r="E34" s="1" t="s">
        <v>50</v>
      </c>
      <c r="F34" s="1">
        <v>1407</v>
      </c>
      <c r="G34" s="1">
        <v>400</v>
      </c>
      <c r="H34" s="1">
        <v>351</v>
      </c>
      <c r="I34" s="1">
        <v>16884</v>
      </c>
      <c r="J34" s="1">
        <v>15954</v>
      </c>
      <c r="K34" s="1">
        <v>113</v>
      </c>
      <c r="L34" s="1" t="s">
        <v>71</v>
      </c>
      <c r="M34" s="1" t="s">
        <v>38</v>
      </c>
    </row>
    <row r="35" spans="1:13" ht="14.25" customHeight="1" x14ac:dyDescent="0.3">
      <c r="A35" s="1" t="s">
        <v>114</v>
      </c>
      <c r="B35" s="1" t="s">
        <v>40</v>
      </c>
      <c r="C35" s="1" t="s">
        <v>115</v>
      </c>
      <c r="D35" s="1" t="s">
        <v>22</v>
      </c>
      <c r="E35" s="1" t="s">
        <v>23</v>
      </c>
      <c r="F35" s="1">
        <v>1652</v>
      </c>
      <c r="G35" s="1">
        <v>89</v>
      </c>
      <c r="H35" s="1">
        <v>357</v>
      </c>
      <c r="I35" s="1">
        <v>29736</v>
      </c>
      <c r="J35" s="1">
        <v>28771</v>
      </c>
      <c r="K35" s="1">
        <v>215</v>
      </c>
      <c r="L35" s="1" t="s">
        <v>116</v>
      </c>
      <c r="M35" s="1" t="s">
        <v>25</v>
      </c>
    </row>
    <row r="36" spans="1:13" ht="14.25" customHeight="1" x14ac:dyDescent="0.3">
      <c r="A36" s="1" t="s">
        <v>117</v>
      </c>
      <c r="B36" s="1" t="s">
        <v>31</v>
      </c>
      <c r="C36" s="1" t="s">
        <v>118</v>
      </c>
      <c r="D36" s="1" t="s">
        <v>69</v>
      </c>
      <c r="E36" s="1" t="s">
        <v>70</v>
      </c>
      <c r="F36" s="1">
        <v>3775</v>
      </c>
      <c r="G36" s="1">
        <v>16</v>
      </c>
      <c r="H36" s="1">
        <v>239</v>
      </c>
      <c r="I36" s="1">
        <v>33975</v>
      </c>
      <c r="J36" s="1">
        <v>33310</v>
      </c>
      <c r="K36" s="1">
        <v>271</v>
      </c>
      <c r="L36" s="1" t="s">
        <v>61</v>
      </c>
      <c r="M36" s="1" t="s">
        <v>38</v>
      </c>
    </row>
    <row r="37" spans="1:13" ht="14.25" customHeight="1" x14ac:dyDescent="0.3">
      <c r="A37" s="1" t="s">
        <v>119</v>
      </c>
      <c r="B37" s="1" t="s">
        <v>31</v>
      </c>
      <c r="C37" s="1" t="s">
        <v>120</v>
      </c>
      <c r="D37" s="1" t="s">
        <v>33</v>
      </c>
      <c r="E37" s="1" t="s">
        <v>34</v>
      </c>
      <c r="F37" s="1">
        <v>4518</v>
      </c>
      <c r="G37" s="1">
        <v>285</v>
      </c>
      <c r="H37" s="1">
        <v>383</v>
      </c>
      <c r="I37" s="1">
        <v>67770</v>
      </c>
      <c r="J37" s="1">
        <v>67621</v>
      </c>
      <c r="K37" s="1">
        <v>31</v>
      </c>
      <c r="L37" s="1" t="s">
        <v>77</v>
      </c>
      <c r="M37" s="1" t="s">
        <v>25</v>
      </c>
    </row>
    <row r="38" spans="1:13" ht="14.25" customHeight="1" x14ac:dyDescent="0.3">
      <c r="A38" s="1" t="s">
        <v>121</v>
      </c>
      <c r="B38" s="1" t="s">
        <v>40</v>
      </c>
      <c r="C38" s="1" t="s">
        <v>122</v>
      </c>
      <c r="D38" s="1" t="s">
        <v>42</v>
      </c>
      <c r="E38" s="1" t="s">
        <v>43</v>
      </c>
      <c r="F38" s="1">
        <v>3024</v>
      </c>
      <c r="G38" s="1">
        <v>925</v>
      </c>
      <c r="H38" s="1">
        <v>350</v>
      </c>
      <c r="I38" s="1">
        <v>24192</v>
      </c>
      <c r="J38" s="1">
        <v>23518</v>
      </c>
      <c r="K38" s="1">
        <v>36</v>
      </c>
      <c r="L38" s="1" t="s">
        <v>18</v>
      </c>
      <c r="M38" s="1" t="s">
        <v>38</v>
      </c>
    </row>
    <row r="39" spans="1:13" ht="14.25" customHeight="1" x14ac:dyDescent="0.3">
      <c r="A39" s="1" t="s">
        <v>123</v>
      </c>
      <c r="B39" s="1" t="s">
        <v>27</v>
      </c>
      <c r="C39" s="1" t="s">
        <v>124</v>
      </c>
      <c r="D39" s="1" t="s">
        <v>16</v>
      </c>
      <c r="E39" s="1" t="s">
        <v>17</v>
      </c>
      <c r="F39" s="1">
        <v>3138</v>
      </c>
      <c r="G39" s="1">
        <v>123</v>
      </c>
      <c r="H39" s="1">
        <v>291</v>
      </c>
      <c r="I39" s="1">
        <v>28242</v>
      </c>
      <c r="J39" s="1">
        <v>27550</v>
      </c>
      <c r="K39" s="1">
        <v>87</v>
      </c>
      <c r="L39" s="1" t="s">
        <v>77</v>
      </c>
      <c r="M39" s="1" t="s">
        <v>55</v>
      </c>
    </row>
    <row r="40" spans="1:13" ht="14.25" customHeight="1" x14ac:dyDescent="0.3">
      <c r="A40" s="1" t="s">
        <v>125</v>
      </c>
      <c r="B40" s="1" t="s">
        <v>40</v>
      </c>
      <c r="C40" s="1" t="s">
        <v>126</v>
      </c>
      <c r="D40" s="1" t="s">
        <v>49</v>
      </c>
      <c r="E40" s="1" t="s">
        <v>50</v>
      </c>
      <c r="F40" s="1">
        <v>3564</v>
      </c>
      <c r="G40" s="1">
        <v>629</v>
      </c>
      <c r="H40" s="1">
        <v>177</v>
      </c>
      <c r="I40" s="1">
        <v>60588</v>
      </c>
      <c r="J40" s="1">
        <v>59627</v>
      </c>
      <c r="K40" s="1">
        <v>92</v>
      </c>
      <c r="L40" s="1" t="s">
        <v>127</v>
      </c>
      <c r="M40" s="1" t="s">
        <v>38</v>
      </c>
    </row>
    <row r="41" spans="1:13" ht="14.25" customHeight="1" x14ac:dyDescent="0.3">
      <c r="A41" s="1" t="s">
        <v>128</v>
      </c>
      <c r="B41" s="1" t="s">
        <v>14</v>
      </c>
      <c r="C41" s="1" t="s">
        <v>129</v>
      </c>
      <c r="D41" s="1" t="s">
        <v>49</v>
      </c>
      <c r="E41" s="1" t="s">
        <v>50</v>
      </c>
      <c r="F41" s="1">
        <v>4750</v>
      </c>
      <c r="G41" s="1">
        <v>151</v>
      </c>
      <c r="H41" s="1">
        <v>415</v>
      </c>
      <c r="I41" s="1">
        <v>38000</v>
      </c>
      <c r="J41" s="1">
        <v>37792</v>
      </c>
      <c r="K41" s="1">
        <v>299</v>
      </c>
      <c r="L41" s="1" t="s">
        <v>61</v>
      </c>
      <c r="M41" s="1" t="s">
        <v>25</v>
      </c>
    </row>
    <row r="42" spans="1:13" ht="14.25" customHeight="1" x14ac:dyDescent="0.3">
      <c r="A42" s="1" t="s">
        <v>130</v>
      </c>
      <c r="B42" s="1" t="s">
        <v>31</v>
      </c>
      <c r="C42" s="1" t="s">
        <v>131</v>
      </c>
      <c r="D42" s="1" t="s">
        <v>16</v>
      </c>
      <c r="E42" s="1" t="s">
        <v>17</v>
      </c>
      <c r="F42" s="1">
        <v>456</v>
      </c>
      <c r="G42" s="1">
        <v>629</v>
      </c>
      <c r="H42" s="1">
        <v>428</v>
      </c>
      <c r="I42" s="1">
        <v>8208</v>
      </c>
      <c r="J42" s="1">
        <v>7377</v>
      </c>
      <c r="K42" s="1">
        <v>205</v>
      </c>
      <c r="L42" s="1" t="s">
        <v>74</v>
      </c>
      <c r="M42" s="1" t="s">
        <v>38</v>
      </c>
    </row>
    <row r="43" spans="1:13" ht="14.25" customHeight="1" x14ac:dyDescent="0.3">
      <c r="A43" s="1" t="s">
        <v>132</v>
      </c>
      <c r="B43" s="1" t="s">
        <v>27</v>
      </c>
      <c r="C43" s="1" t="s">
        <v>133</v>
      </c>
      <c r="D43" s="1" t="s">
        <v>16</v>
      </c>
      <c r="E43" s="1" t="s">
        <v>17</v>
      </c>
      <c r="F43" s="1">
        <v>1543</v>
      </c>
      <c r="G43" s="1">
        <v>820</v>
      </c>
      <c r="H43" s="1">
        <v>333</v>
      </c>
      <c r="I43" s="1">
        <v>12344</v>
      </c>
      <c r="J43" s="1">
        <v>11496</v>
      </c>
      <c r="K43" s="1">
        <v>241</v>
      </c>
      <c r="L43" s="1" t="s">
        <v>58</v>
      </c>
      <c r="M43" s="1" t="s">
        <v>38</v>
      </c>
    </row>
    <row r="44" spans="1:13" ht="14.25" customHeight="1" x14ac:dyDescent="0.3">
      <c r="A44" s="1" t="s">
        <v>134</v>
      </c>
      <c r="B44" s="1" t="s">
        <v>31</v>
      </c>
      <c r="C44" s="1" t="s">
        <v>135</v>
      </c>
      <c r="D44" s="1" t="s">
        <v>42</v>
      </c>
      <c r="E44" s="1" t="s">
        <v>43</v>
      </c>
      <c r="F44" s="1">
        <v>2174</v>
      </c>
      <c r="G44" s="1">
        <v>658</v>
      </c>
      <c r="H44" s="1">
        <v>15</v>
      </c>
      <c r="I44" s="1">
        <v>13044</v>
      </c>
      <c r="J44" s="1">
        <v>12206</v>
      </c>
      <c r="K44" s="1">
        <v>137</v>
      </c>
      <c r="L44" s="1" t="s">
        <v>66</v>
      </c>
      <c r="M44" s="1" t="s">
        <v>55</v>
      </c>
    </row>
    <row r="45" spans="1:13" ht="14.25" customHeight="1" x14ac:dyDescent="0.3">
      <c r="A45" s="1" t="s">
        <v>136</v>
      </c>
      <c r="B45" s="1" t="s">
        <v>14</v>
      </c>
      <c r="C45" s="1" t="s">
        <v>137</v>
      </c>
      <c r="D45" s="1" t="s">
        <v>49</v>
      </c>
      <c r="E45" s="1" t="s">
        <v>50</v>
      </c>
      <c r="F45" s="1">
        <v>2358</v>
      </c>
      <c r="G45" s="1">
        <v>784</v>
      </c>
      <c r="H45" s="1">
        <v>344</v>
      </c>
      <c r="I45" s="1">
        <v>35370</v>
      </c>
      <c r="J45" s="1">
        <v>34475</v>
      </c>
      <c r="K45" s="1">
        <v>216</v>
      </c>
      <c r="L45" s="1" t="s">
        <v>82</v>
      </c>
      <c r="M45" s="1" t="s">
        <v>19</v>
      </c>
    </row>
    <row r="46" spans="1:13" ht="14.25" customHeight="1" x14ac:dyDescent="0.3">
      <c r="A46" s="1" t="s">
        <v>138</v>
      </c>
      <c r="B46" s="1" t="s">
        <v>40</v>
      </c>
      <c r="C46" s="1" t="s">
        <v>139</v>
      </c>
      <c r="D46" s="1" t="s">
        <v>69</v>
      </c>
      <c r="E46" s="1" t="s">
        <v>70</v>
      </c>
      <c r="F46" s="1">
        <v>3371</v>
      </c>
      <c r="G46" s="1">
        <v>106</v>
      </c>
      <c r="H46" s="1">
        <v>327</v>
      </c>
      <c r="I46" s="1">
        <v>50565</v>
      </c>
      <c r="J46" s="1">
        <v>49816</v>
      </c>
      <c r="K46" s="1">
        <v>176</v>
      </c>
      <c r="L46" s="1" t="s">
        <v>77</v>
      </c>
      <c r="M46" s="1" t="s">
        <v>55</v>
      </c>
    </row>
    <row r="47" spans="1:13" ht="14.25" customHeight="1" x14ac:dyDescent="0.3">
      <c r="A47" s="1" t="s">
        <v>140</v>
      </c>
      <c r="B47" s="1" t="s">
        <v>14</v>
      </c>
      <c r="C47" s="1" t="s">
        <v>141</v>
      </c>
      <c r="D47" s="1" t="s">
        <v>69</v>
      </c>
      <c r="E47" s="1" t="s">
        <v>70</v>
      </c>
      <c r="F47" s="1">
        <v>1108</v>
      </c>
      <c r="G47" s="1">
        <v>177</v>
      </c>
      <c r="H47" s="1">
        <v>212</v>
      </c>
      <c r="I47" s="1">
        <v>8864</v>
      </c>
      <c r="J47" s="1">
        <v>8710</v>
      </c>
      <c r="K47" s="1">
        <v>97</v>
      </c>
      <c r="L47" s="1" t="s">
        <v>24</v>
      </c>
      <c r="M47" s="1" t="s">
        <v>55</v>
      </c>
    </row>
    <row r="48" spans="1:13" ht="14.25" customHeight="1" x14ac:dyDescent="0.3">
      <c r="A48" s="1" t="s">
        <v>142</v>
      </c>
      <c r="B48" s="1" t="s">
        <v>14</v>
      </c>
      <c r="C48" s="1" t="s">
        <v>143</v>
      </c>
      <c r="D48" s="1" t="s">
        <v>42</v>
      </c>
      <c r="E48" s="1" t="s">
        <v>43</v>
      </c>
      <c r="F48" s="1">
        <v>2704</v>
      </c>
      <c r="G48" s="1">
        <v>752</v>
      </c>
      <c r="H48" s="1">
        <v>153</v>
      </c>
      <c r="I48" s="1">
        <v>21632</v>
      </c>
      <c r="J48" s="1">
        <v>20792</v>
      </c>
      <c r="K48" s="1">
        <v>127</v>
      </c>
      <c r="L48" s="1" t="s">
        <v>144</v>
      </c>
      <c r="M48" s="1" t="s">
        <v>19</v>
      </c>
    </row>
    <row r="49" spans="1:13" ht="14.25" customHeight="1" x14ac:dyDescent="0.3">
      <c r="A49" s="1" t="s">
        <v>145</v>
      </c>
      <c r="B49" s="1" t="s">
        <v>14</v>
      </c>
      <c r="C49" s="1" t="s">
        <v>54</v>
      </c>
      <c r="D49" s="1" t="s">
        <v>33</v>
      </c>
      <c r="E49" s="1" t="s">
        <v>34</v>
      </c>
      <c r="F49" s="1">
        <v>1950</v>
      </c>
      <c r="G49" s="1">
        <v>295</v>
      </c>
      <c r="H49" s="1">
        <v>478</v>
      </c>
      <c r="I49" s="1">
        <v>37050</v>
      </c>
      <c r="J49" s="1">
        <v>36272</v>
      </c>
      <c r="K49" s="1">
        <v>119</v>
      </c>
      <c r="L49" s="1" t="s">
        <v>146</v>
      </c>
      <c r="M49" s="1" t="s">
        <v>55</v>
      </c>
    </row>
    <row r="50" spans="1:13" ht="14.25" customHeight="1" x14ac:dyDescent="0.3">
      <c r="A50" s="1" t="s">
        <v>147</v>
      </c>
      <c r="B50" s="1" t="s">
        <v>14</v>
      </c>
      <c r="C50" s="1" t="s">
        <v>148</v>
      </c>
      <c r="D50" s="1" t="s">
        <v>33</v>
      </c>
      <c r="E50" s="1" t="s">
        <v>34</v>
      </c>
      <c r="F50" s="1">
        <v>2164</v>
      </c>
      <c r="G50" s="1">
        <v>549</v>
      </c>
      <c r="H50" s="1">
        <v>274</v>
      </c>
      <c r="I50" s="1">
        <v>28132</v>
      </c>
      <c r="J50" s="1">
        <v>27361</v>
      </c>
      <c r="K50" s="1">
        <v>177</v>
      </c>
      <c r="L50" s="1" t="s">
        <v>58</v>
      </c>
      <c r="M50" s="1" t="s">
        <v>19</v>
      </c>
    </row>
    <row r="51" spans="1:13" ht="14.25" customHeight="1" x14ac:dyDescent="0.3">
      <c r="A51" s="1" t="s">
        <v>149</v>
      </c>
      <c r="B51" s="1" t="s">
        <v>27</v>
      </c>
      <c r="C51" s="1" t="s">
        <v>150</v>
      </c>
      <c r="D51" s="1" t="s">
        <v>33</v>
      </c>
      <c r="E51" s="1" t="s">
        <v>34</v>
      </c>
      <c r="F51" s="1">
        <v>2754</v>
      </c>
      <c r="G51" s="1">
        <v>130</v>
      </c>
      <c r="H51" s="1">
        <v>90</v>
      </c>
      <c r="I51" s="1">
        <v>22032</v>
      </c>
      <c r="J51" s="1">
        <v>21288</v>
      </c>
      <c r="K51" s="1">
        <v>112</v>
      </c>
      <c r="L51" s="1" t="s">
        <v>24</v>
      </c>
      <c r="M51" s="1" t="s">
        <v>19</v>
      </c>
    </row>
    <row r="52" spans="1:13" ht="14.25" customHeight="1" x14ac:dyDescent="0.3">
      <c r="A52" s="1" t="s">
        <v>151</v>
      </c>
      <c r="B52" s="1" t="s">
        <v>40</v>
      </c>
      <c r="C52" s="1" t="s">
        <v>152</v>
      </c>
      <c r="D52" s="1" t="s">
        <v>42</v>
      </c>
      <c r="E52" s="1" t="s">
        <v>43</v>
      </c>
      <c r="F52" s="1">
        <v>2200</v>
      </c>
      <c r="G52" s="1">
        <v>504</v>
      </c>
      <c r="H52" s="1">
        <v>239</v>
      </c>
      <c r="I52" s="1">
        <v>37400</v>
      </c>
      <c r="J52" s="1">
        <v>36938</v>
      </c>
      <c r="K52" s="1">
        <v>225</v>
      </c>
      <c r="L52" s="1" t="s">
        <v>18</v>
      </c>
      <c r="M52" s="1" t="s">
        <v>38</v>
      </c>
    </row>
    <row r="53" spans="1:13" ht="14.25" customHeight="1" x14ac:dyDescent="0.3">
      <c r="A53" s="1" t="s">
        <v>153</v>
      </c>
      <c r="B53" s="1" t="s">
        <v>40</v>
      </c>
      <c r="C53" s="1" t="s">
        <v>154</v>
      </c>
      <c r="D53" s="1" t="s">
        <v>49</v>
      </c>
      <c r="E53" s="1" t="s">
        <v>50</v>
      </c>
      <c r="F53" s="1">
        <v>947</v>
      </c>
      <c r="G53" s="1">
        <v>338</v>
      </c>
      <c r="H53" s="1">
        <v>350</v>
      </c>
      <c r="I53" s="1">
        <v>10417</v>
      </c>
      <c r="J53" s="1">
        <v>9730</v>
      </c>
      <c r="K53" s="1">
        <v>34</v>
      </c>
      <c r="L53" s="1" t="s">
        <v>29</v>
      </c>
      <c r="M53" s="1" t="s">
        <v>38</v>
      </c>
    </row>
    <row r="54" spans="1:13" ht="14.25" customHeight="1" x14ac:dyDescent="0.3">
      <c r="A54" s="1" t="s">
        <v>155</v>
      </c>
      <c r="B54" s="1" t="s">
        <v>27</v>
      </c>
      <c r="C54" s="1" t="s">
        <v>143</v>
      </c>
      <c r="D54" s="1" t="s">
        <v>42</v>
      </c>
      <c r="E54" s="1" t="s">
        <v>43</v>
      </c>
      <c r="F54" s="1">
        <v>804</v>
      </c>
      <c r="G54" s="1">
        <v>639</v>
      </c>
      <c r="H54" s="1">
        <v>43</v>
      </c>
      <c r="I54" s="1">
        <v>4020</v>
      </c>
      <c r="J54" s="1">
        <v>3144</v>
      </c>
      <c r="K54" s="1">
        <v>11</v>
      </c>
      <c r="L54" s="1" t="s">
        <v>87</v>
      </c>
      <c r="M54" s="1" t="s">
        <v>55</v>
      </c>
    </row>
    <row r="55" spans="1:13" ht="14.25" customHeight="1" x14ac:dyDescent="0.3">
      <c r="A55" s="1" t="s">
        <v>156</v>
      </c>
      <c r="B55" s="1" t="s">
        <v>27</v>
      </c>
      <c r="C55" s="1" t="s">
        <v>157</v>
      </c>
      <c r="D55" s="1" t="s">
        <v>42</v>
      </c>
      <c r="E55" s="1" t="s">
        <v>43</v>
      </c>
      <c r="F55" s="1">
        <v>1686</v>
      </c>
      <c r="G55" s="1">
        <v>904</v>
      </c>
      <c r="H55" s="1">
        <v>472</v>
      </c>
      <c r="I55" s="1">
        <v>18546</v>
      </c>
      <c r="J55" s="1">
        <v>18171</v>
      </c>
      <c r="K55" s="1">
        <v>52</v>
      </c>
      <c r="L55" s="1" t="s">
        <v>71</v>
      </c>
      <c r="M55" s="1" t="s">
        <v>25</v>
      </c>
    </row>
    <row r="56" spans="1:13" ht="14.25" customHeight="1" x14ac:dyDescent="0.3">
      <c r="A56" s="1" t="s">
        <v>158</v>
      </c>
      <c r="B56" s="1" t="s">
        <v>40</v>
      </c>
      <c r="C56" s="1" t="s">
        <v>159</v>
      </c>
      <c r="D56" s="1" t="s">
        <v>49</v>
      </c>
      <c r="E56" s="1" t="s">
        <v>50</v>
      </c>
      <c r="F56" s="1">
        <v>1226</v>
      </c>
      <c r="G56" s="1">
        <v>119</v>
      </c>
      <c r="H56" s="1">
        <v>7</v>
      </c>
      <c r="I56" s="1">
        <v>14712</v>
      </c>
      <c r="J56" s="1">
        <v>14049</v>
      </c>
      <c r="K56" s="1">
        <v>123</v>
      </c>
      <c r="L56" s="1" t="s">
        <v>102</v>
      </c>
      <c r="M56" s="1" t="s">
        <v>55</v>
      </c>
    </row>
    <row r="57" spans="1:13" ht="14.25" customHeight="1" x14ac:dyDescent="0.3">
      <c r="A57" s="1" t="s">
        <v>160</v>
      </c>
      <c r="B57" s="1" t="s">
        <v>40</v>
      </c>
      <c r="C57" s="1" t="s">
        <v>161</v>
      </c>
      <c r="D57" s="1" t="s">
        <v>42</v>
      </c>
      <c r="E57" s="1" t="s">
        <v>43</v>
      </c>
      <c r="F57" s="1">
        <v>2946</v>
      </c>
      <c r="G57" s="1">
        <v>498</v>
      </c>
      <c r="H57" s="1">
        <v>367</v>
      </c>
      <c r="I57" s="1">
        <v>29460</v>
      </c>
      <c r="J57" s="1">
        <v>28527</v>
      </c>
      <c r="K57" s="1">
        <v>60</v>
      </c>
      <c r="L57" s="1" t="s">
        <v>162</v>
      </c>
      <c r="M57" s="1" t="s">
        <v>25</v>
      </c>
    </row>
    <row r="58" spans="1:13" ht="14.25" customHeight="1" x14ac:dyDescent="0.3">
      <c r="A58" s="1" t="s">
        <v>163</v>
      </c>
      <c r="B58" s="1" t="s">
        <v>14</v>
      </c>
      <c r="C58" s="1" t="s">
        <v>164</v>
      </c>
      <c r="D58" s="1" t="s">
        <v>69</v>
      </c>
      <c r="E58" s="1" t="s">
        <v>70</v>
      </c>
      <c r="F58" s="1">
        <v>2825</v>
      </c>
      <c r="G58" s="1">
        <v>535</v>
      </c>
      <c r="H58" s="1">
        <v>295</v>
      </c>
      <c r="I58" s="1">
        <v>45200</v>
      </c>
      <c r="J58" s="1">
        <v>44739</v>
      </c>
      <c r="K58" s="1">
        <v>169</v>
      </c>
      <c r="L58" s="1" t="s">
        <v>58</v>
      </c>
      <c r="M58" s="1" t="s">
        <v>25</v>
      </c>
    </row>
    <row r="59" spans="1:13" ht="14.25" customHeight="1" x14ac:dyDescent="0.3">
      <c r="A59" s="1" t="s">
        <v>165</v>
      </c>
      <c r="B59" s="1" t="s">
        <v>31</v>
      </c>
      <c r="C59" s="1" t="s">
        <v>166</v>
      </c>
      <c r="D59" s="1" t="s">
        <v>16</v>
      </c>
      <c r="E59" s="1" t="s">
        <v>17</v>
      </c>
      <c r="F59" s="1">
        <v>103</v>
      </c>
      <c r="G59" s="1">
        <v>770</v>
      </c>
      <c r="H59" s="1">
        <v>19</v>
      </c>
      <c r="I59" s="1">
        <v>1030</v>
      </c>
      <c r="J59" s="1">
        <v>410</v>
      </c>
      <c r="K59" s="1">
        <v>262</v>
      </c>
      <c r="L59" s="1" t="s">
        <v>18</v>
      </c>
      <c r="M59" s="1" t="s">
        <v>38</v>
      </c>
    </row>
    <row r="60" spans="1:13" ht="14.25" customHeight="1" x14ac:dyDescent="0.3">
      <c r="A60" s="1" t="s">
        <v>167</v>
      </c>
      <c r="B60" s="1" t="s">
        <v>31</v>
      </c>
      <c r="C60" s="1" t="s">
        <v>168</v>
      </c>
      <c r="D60" s="1" t="s">
        <v>22</v>
      </c>
      <c r="E60" s="1" t="s">
        <v>23</v>
      </c>
      <c r="F60" s="1">
        <v>2180</v>
      </c>
      <c r="G60" s="1">
        <v>263</v>
      </c>
      <c r="H60" s="1">
        <v>387</v>
      </c>
      <c r="I60" s="1">
        <v>30520</v>
      </c>
      <c r="J60" s="1">
        <v>30059</v>
      </c>
      <c r="K60" s="1">
        <v>174</v>
      </c>
      <c r="L60" s="1" t="s">
        <v>77</v>
      </c>
      <c r="M60" s="1" t="s">
        <v>19</v>
      </c>
    </row>
    <row r="61" spans="1:13" ht="14.25" customHeight="1" x14ac:dyDescent="0.3">
      <c r="A61" s="1" t="s">
        <v>169</v>
      </c>
      <c r="B61" s="1" t="s">
        <v>31</v>
      </c>
      <c r="C61" s="1" t="s">
        <v>170</v>
      </c>
      <c r="D61" s="1" t="s">
        <v>69</v>
      </c>
      <c r="E61" s="1" t="s">
        <v>70</v>
      </c>
      <c r="F61" s="1">
        <v>904</v>
      </c>
      <c r="G61" s="1">
        <v>973</v>
      </c>
      <c r="H61" s="1">
        <v>63</v>
      </c>
      <c r="I61" s="1">
        <v>11752</v>
      </c>
      <c r="J61" s="1">
        <v>11580</v>
      </c>
      <c r="K61" s="1">
        <v>84</v>
      </c>
      <c r="L61" s="1" t="s">
        <v>58</v>
      </c>
      <c r="M61" s="1" t="s">
        <v>19</v>
      </c>
    </row>
    <row r="62" spans="1:13" ht="14.25" customHeight="1" x14ac:dyDescent="0.3">
      <c r="A62" s="1" t="s">
        <v>171</v>
      </c>
      <c r="B62" s="1" t="s">
        <v>14</v>
      </c>
      <c r="C62" s="1" t="s">
        <v>172</v>
      </c>
      <c r="D62" s="1" t="s">
        <v>69</v>
      </c>
      <c r="E62" s="1" t="s">
        <v>70</v>
      </c>
      <c r="F62" s="1">
        <v>4886</v>
      </c>
      <c r="G62" s="1">
        <v>983</v>
      </c>
      <c r="H62" s="1">
        <v>409</v>
      </c>
      <c r="I62" s="1">
        <v>43974</v>
      </c>
      <c r="J62" s="1">
        <v>43239</v>
      </c>
      <c r="K62" s="1">
        <v>65</v>
      </c>
      <c r="L62" s="1" t="s">
        <v>24</v>
      </c>
      <c r="M62" s="1" t="s">
        <v>19</v>
      </c>
    </row>
    <row r="63" spans="1:13" ht="14.25" customHeight="1" x14ac:dyDescent="0.3">
      <c r="A63" s="1" t="s">
        <v>173</v>
      </c>
      <c r="B63" s="1" t="s">
        <v>14</v>
      </c>
      <c r="C63" s="1" t="s">
        <v>174</v>
      </c>
      <c r="D63" s="1" t="s">
        <v>42</v>
      </c>
      <c r="E63" s="1" t="s">
        <v>43</v>
      </c>
      <c r="F63" s="1">
        <v>53</v>
      </c>
      <c r="G63" s="1">
        <v>81</v>
      </c>
      <c r="H63" s="1">
        <v>379</v>
      </c>
      <c r="I63" s="1">
        <v>954</v>
      </c>
      <c r="J63" s="1">
        <v>7</v>
      </c>
      <c r="K63" s="1">
        <v>148</v>
      </c>
      <c r="L63" s="1" t="s">
        <v>77</v>
      </c>
      <c r="M63" s="1" t="s">
        <v>38</v>
      </c>
    </row>
    <row r="64" spans="1:13" ht="14.25" customHeight="1" x14ac:dyDescent="0.3">
      <c r="A64" s="1" t="s">
        <v>175</v>
      </c>
      <c r="B64" s="1" t="s">
        <v>14</v>
      </c>
      <c r="C64" s="1" t="s">
        <v>111</v>
      </c>
      <c r="D64" s="1" t="s">
        <v>42</v>
      </c>
      <c r="E64" s="1" t="s">
        <v>43</v>
      </c>
      <c r="F64" s="1">
        <v>4507</v>
      </c>
      <c r="G64" s="1">
        <v>217</v>
      </c>
      <c r="H64" s="1">
        <v>13</v>
      </c>
      <c r="I64" s="1">
        <v>90140</v>
      </c>
      <c r="J64" s="1">
        <v>89591</v>
      </c>
      <c r="K64" s="1">
        <v>125</v>
      </c>
      <c r="L64" s="1" t="s">
        <v>18</v>
      </c>
      <c r="M64" s="1" t="s">
        <v>19</v>
      </c>
    </row>
    <row r="65" spans="1:13" ht="14.25" customHeight="1" x14ac:dyDescent="0.3">
      <c r="A65" s="1" t="s">
        <v>176</v>
      </c>
      <c r="B65" s="1" t="s">
        <v>40</v>
      </c>
      <c r="C65" s="1" t="s">
        <v>177</v>
      </c>
      <c r="D65" s="1" t="s">
        <v>49</v>
      </c>
      <c r="E65" s="1" t="s">
        <v>50</v>
      </c>
      <c r="F65" s="1">
        <v>2878</v>
      </c>
      <c r="G65" s="1">
        <v>248</v>
      </c>
      <c r="H65" s="1">
        <v>416</v>
      </c>
      <c r="I65" s="1">
        <v>43170</v>
      </c>
      <c r="J65" s="1">
        <v>42667</v>
      </c>
      <c r="K65" s="1">
        <v>75</v>
      </c>
      <c r="L65" s="1" t="s">
        <v>178</v>
      </c>
      <c r="M65" s="1" t="s">
        <v>25</v>
      </c>
    </row>
    <row r="66" spans="1:13" ht="14.25" customHeight="1" x14ac:dyDescent="0.3">
      <c r="A66" s="1" t="s">
        <v>179</v>
      </c>
      <c r="B66" s="1" t="s">
        <v>31</v>
      </c>
      <c r="C66" s="1" t="s">
        <v>180</v>
      </c>
      <c r="D66" s="1" t="s">
        <v>33</v>
      </c>
      <c r="E66" s="1" t="s">
        <v>34</v>
      </c>
      <c r="F66" s="1">
        <v>1881</v>
      </c>
      <c r="G66" s="1">
        <v>501</v>
      </c>
      <c r="H66" s="1">
        <v>99</v>
      </c>
      <c r="I66" s="1">
        <v>20691</v>
      </c>
      <c r="J66" s="1">
        <v>19987</v>
      </c>
      <c r="K66" s="1">
        <v>289</v>
      </c>
      <c r="L66" s="1" t="s">
        <v>77</v>
      </c>
      <c r="M66" s="1" t="s">
        <v>25</v>
      </c>
    </row>
    <row r="67" spans="1:13" ht="14.25" customHeight="1" x14ac:dyDescent="0.3">
      <c r="A67" s="1" t="s">
        <v>181</v>
      </c>
      <c r="B67" s="1" t="s">
        <v>14</v>
      </c>
      <c r="C67" s="1" t="s">
        <v>182</v>
      </c>
      <c r="D67" s="1" t="s">
        <v>42</v>
      </c>
      <c r="E67" s="1" t="s">
        <v>43</v>
      </c>
      <c r="F67" s="1">
        <v>432</v>
      </c>
      <c r="G67" s="1">
        <v>171</v>
      </c>
      <c r="H67" s="1">
        <v>280</v>
      </c>
      <c r="I67" s="1">
        <v>3024</v>
      </c>
      <c r="J67" s="1">
        <v>2285</v>
      </c>
      <c r="K67" s="1">
        <v>184</v>
      </c>
      <c r="L67" s="1" t="s">
        <v>24</v>
      </c>
      <c r="M67" s="1" t="s">
        <v>38</v>
      </c>
    </row>
    <row r="68" spans="1:13" ht="14.25" customHeight="1" x14ac:dyDescent="0.3">
      <c r="A68" s="1" t="s">
        <v>183</v>
      </c>
      <c r="B68" s="1" t="s">
        <v>40</v>
      </c>
      <c r="C68" s="1" t="s">
        <v>184</v>
      </c>
      <c r="D68" s="1" t="s">
        <v>42</v>
      </c>
      <c r="E68" s="1" t="s">
        <v>43</v>
      </c>
      <c r="F68" s="1">
        <v>4712</v>
      </c>
      <c r="G68" s="1">
        <v>568</v>
      </c>
      <c r="H68" s="1">
        <v>127</v>
      </c>
      <c r="I68" s="1">
        <v>84816</v>
      </c>
      <c r="J68" s="1">
        <v>84691</v>
      </c>
      <c r="K68" s="1">
        <v>100</v>
      </c>
      <c r="L68" s="1" t="s">
        <v>77</v>
      </c>
      <c r="M68" s="1" t="s">
        <v>19</v>
      </c>
    </row>
    <row r="69" spans="1:13" ht="14.25" customHeight="1" x14ac:dyDescent="0.3">
      <c r="A69" s="1" t="s">
        <v>185</v>
      </c>
      <c r="B69" s="1" t="s">
        <v>31</v>
      </c>
      <c r="C69" s="1" t="s">
        <v>186</v>
      </c>
      <c r="D69" s="1" t="s">
        <v>33</v>
      </c>
      <c r="E69" s="1" t="s">
        <v>34</v>
      </c>
      <c r="F69" s="1">
        <v>2610</v>
      </c>
      <c r="G69" s="1">
        <v>126</v>
      </c>
      <c r="H69" s="1">
        <v>288</v>
      </c>
      <c r="I69" s="1">
        <v>15660</v>
      </c>
      <c r="J69" s="1">
        <v>15145</v>
      </c>
      <c r="K69" s="1">
        <v>73</v>
      </c>
      <c r="L69" s="1" t="s">
        <v>24</v>
      </c>
      <c r="M69" s="1" t="s">
        <v>19</v>
      </c>
    </row>
    <row r="70" spans="1:13" ht="14.25" customHeight="1" x14ac:dyDescent="0.3">
      <c r="A70" s="1" t="s">
        <v>187</v>
      </c>
      <c r="B70" s="1" t="s">
        <v>14</v>
      </c>
      <c r="C70" s="1" t="s">
        <v>131</v>
      </c>
      <c r="D70" s="1" t="s">
        <v>22</v>
      </c>
      <c r="E70" s="1" t="s">
        <v>23</v>
      </c>
      <c r="F70" s="1">
        <v>1292</v>
      </c>
      <c r="G70" s="1">
        <v>626</v>
      </c>
      <c r="H70" s="1">
        <v>496</v>
      </c>
      <c r="I70" s="1">
        <v>25840</v>
      </c>
      <c r="J70" s="1">
        <v>24916</v>
      </c>
      <c r="K70" s="1">
        <v>149</v>
      </c>
      <c r="L70" s="1" t="s">
        <v>87</v>
      </c>
      <c r="M70" s="1" t="s">
        <v>55</v>
      </c>
    </row>
    <row r="71" spans="1:13" ht="14.25" customHeight="1" x14ac:dyDescent="0.3">
      <c r="A71" s="1" t="s">
        <v>188</v>
      </c>
      <c r="B71" s="1" t="s">
        <v>40</v>
      </c>
      <c r="C71" s="1" t="s">
        <v>189</v>
      </c>
      <c r="D71" s="1" t="s">
        <v>69</v>
      </c>
      <c r="E71" s="1" t="s">
        <v>70</v>
      </c>
      <c r="F71" s="1">
        <v>199</v>
      </c>
      <c r="G71" s="1">
        <v>772</v>
      </c>
      <c r="H71" s="1">
        <v>400</v>
      </c>
      <c r="I71" s="1">
        <v>3582</v>
      </c>
      <c r="J71" s="1">
        <v>2988</v>
      </c>
      <c r="K71" s="1">
        <v>43</v>
      </c>
      <c r="L71" s="1" t="s">
        <v>44</v>
      </c>
      <c r="M71" s="1" t="s">
        <v>19</v>
      </c>
    </row>
    <row r="72" spans="1:13" ht="14.25" customHeight="1" x14ac:dyDescent="0.3">
      <c r="A72" s="1" t="s">
        <v>190</v>
      </c>
      <c r="B72" s="1" t="s">
        <v>27</v>
      </c>
      <c r="C72" s="1" t="s">
        <v>191</v>
      </c>
      <c r="D72" s="1" t="s">
        <v>42</v>
      </c>
      <c r="E72" s="1" t="s">
        <v>43</v>
      </c>
      <c r="F72" s="1">
        <v>2551</v>
      </c>
      <c r="G72" s="1">
        <v>915</v>
      </c>
      <c r="H72" s="1">
        <v>205</v>
      </c>
      <c r="I72" s="1">
        <v>30612</v>
      </c>
      <c r="J72" s="1">
        <v>30360</v>
      </c>
      <c r="K72" s="1">
        <v>227</v>
      </c>
      <c r="L72" s="1" t="s">
        <v>74</v>
      </c>
      <c r="M72" s="1" t="s">
        <v>25</v>
      </c>
    </row>
    <row r="73" spans="1:13" ht="14.25" customHeight="1" x14ac:dyDescent="0.3">
      <c r="A73" s="1" t="s">
        <v>192</v>
      </c>
      <c r="B73" s="1" t="s">
        <v>27</v>
      </c>
      <c r="C73" s="1" t="s">
        <v>193</v>
      </c>
      <c r="D73" s="1" t="s">
        <v>16</v>
      </c>
      <c r="E73" s="1" t="s">
        <v>17</v>
      </c>
      <c r="F73" s="1">
        <v>296</v>
      </c>
      <c r="G73" s="1">
        <v>60</v>
      </c>
      <c r="H73" s="1">
        <v>141</v>
      </c>
      <c r="I73" s="1">
        <v>5624</v>
      </c>
      <c r="J73" s="1">
        <v>5239</v>
      </c>
      <c r="K73" s="1">
        <v>88</v>
      </c>
      <c r="L73" s="1" t="s">
        <v>44</v>
      </c>
      <c r="M73" s="1" t="s">
        <v>55</v>
      </c>
    </row>
    <row r="74" spans="1:13" ht="14.25" customHeight="1" x14ac:dyDescent="0.3">
      <c r="A74" s="1" t="s">
        <v>194</v>
      </c>
      <c r="B74" s="1" t="s">
        <v>40</v>
      </c>
      <c r="C74" s="1" t="s">
        <v>195</v>
      </c>
      <c r="D74" s="1" t="s">
        <v>33</v>
      </c>
      <c r="E74" s="1" t="s">
        <v>34</v>
      </c>
      <c r="F74" s="1">
        <v>4126</v>
      </c>
      <c r="G74" s="1">
        <v>426</v>
      </c>
      <c r="H74" s="1">
        <v>486</v>
      </c>
      <c r="I74" s="1">
        <v>78394</v>
      </c>
      <c r="J74" s="1">
        <v>77798</v>
      </c>
      <c r="K74" s="1">
        <v>88</v>
      </c>
      <c r="L74" s="1" t="s">
        <v>24</v>
      </c>
      <c r="M74" s="1" t="s">
        <v>19</v>
      </c>
    </row>
    <row r="75" spans="1:13" ht="14.25" customHeight="1" x14ac:dyDescent="0.3">
      <c r="A75" s="1" t="s">
        <v>196</v>
      </c>
      <c r="B75" s="1" t="s">
        <v>27</v>
      </c>
      <c r="C75" s="1" t="s">
        <v>197</v>
      </c>
      <c r="D75" s="1" t="s">
        <v>16</v>
      </c>
      <c r="E75" s="1" t="s">
        <v>17</v>
      </c>
      <c r="F75" s="1">
        <v>1855</v>
      </c>
      <c r="G75" s="1">
        <v>200</v>
      </c>
      <c r="H75" s="1">
        <v>174</v>
      </c>
      <c r="I75" s="1">
        <v>16695</v>
      </c>
      <c r="J75" s="1">
        <v>16330</v>
      </c>
      <c r="K75" s="1">
        <v>123</v>
      </c>
      <c r="L75" s="1" t="s">
        <v>24</v>
      </c>
      <c r="M75" s="1" t="s">
        <v>38</v>
      </c>
    </row>
    <row r="76" spans="1:13" ht="14.25" customHeight="1" x14ac:dyDescent="0.3">
      <c r="A76" s="1" t="s">
        <v>198</v>
      </c>
      <c r="B76" s="1" t="s">
        <v>31</v>
      </c>
      <c r="C76" s="1" t="s">
        <v>199</v>
      </c>
      <c r="D76" s="1" t="s">
        <v>16</v>
      </c>
      <c r="E76" s="1" t="s">
        <v>17</v>
      </c>
      <c r="F76" s="1">
        <v>1674</v>
      </c>
      <c r="G76" s="1">
        <v>929</v>
      </c>
      <c r="H76" s="1">
        <v>37</v>
      </c>
      <c r="I76" s="1">
        <v>21762</v>
      </c>
      <c r="J76" s="1">
        <v>20998</v>
      </c>
      <c r="K76" s="1">
        <v>255</v>
      </c>
      <c r="L76" s="1" t="s">
        <v>162</v>
      </c>
      <c r="M76" s="1" t="s">
        <v>38</v>
      </c>
    </row>
    <row r="77" spans="1:13" ht="14.25" customHeight="1" x14ac:dyDescent="0.3">
      <c r="A77" s="1" t="s">
        <v>200</v>
      </c>
      <c r="B77" s="1" t="s">
        <v>14</v>
      </c>
      <c r="C77" s="1" t="s">
        <v>201</v>
      </c>
      <c r="D77" s="1" t="s">
        <v>33</v>
      </c>
      <c r="E77" s="1" t="s">
        <v>34</v>
      </c>
      <c r="F77" s="1">
        <v>1121</v>
      </c>
      <c r="G77" s="1">
        <v>135</v>
      </c>
      <c r="H77" s="1">
        <v>18</v>
      </c>
      <c r="I77" s="1">
        <v>15694</v>
      </c>
      <c r="J77" s="1">
        <v>14957</v>
      </c>
      <c r="K77" s="1">
        <v>99</v>
      </c>
      <c r="L77" s="1" t="s">
        <v>66</v>
      </c>
      <c r="M77" s="1" t="s">
        <v>55</v>
      </c>
    </row>
    <row r="78" spans="1:13" ht="14.25" customHeight="1" x14ac:dyDescent="0.3">
      <c r="A78" s="1" t="s">
        <v>202</v>
      </c>
      <c r="B78" s="1" t="s">
        <v>40</v>
      </c>
      <c r="C78" s="1" t="s">
        <v>101</v>
      </c>
      <c r="D78" s="1" t="s">
        <v>33</v>
      </c>
      <c r="E78" s="1" t="s">
        <v>34</v>
      </c>
      <c r="F78" s="1">
        <v>1249</v>
      </c>
      <c r="G78" s="1">
        <v>116</v>
      </c>
      <c r="H78" s="1">
        <v>420</v>
      </c>
      <c r="I78" s="1">
        <v>8743</v>
      </c>
      <c r="J78" s="1">
        <v>8538</v>
      </c>
      <c r="K78" s="1">
        <v>63</v>
      </c>
      <c r="L78" s="1" t="s">
        <v>71</v>
      </c>
      <c r="M78" s="1" t="s">
        <v>38</v>
      </c>
    </row>
    <row r="79" spans="1:13" ht="14.25" customHeight="1" x14ac:dyDescent="0.3">
      <c r="A79" s="1" t="s">
        <v>203</v>
      </c>
      <c r="B79" s="1" t="s">
        <v>14</v>
      </c>
      <c r="C79" s="1" t="s">
        <v>159</v>
      </c>
      <c r="D79" s="1" t="s">
        <v>49</v>
      </c>
      <c r="E79" s="1" t="s">
        <v>50</v>
      </c>
      <c r="F79" s="1">
        <v>954</v>
      </c>
      <c r="G79" s="1">
        <v>324</v>
      </c>
      <c r="H79" s="1">
        <v>288</v>
      </c>
      <c r="I79" s="1">
        <v>19080</v>
      </c>
      <c r="J79" s="1">
        <v>18859</v>
      </c>
      <c r="K79" s="1">
        <v>21</v>
      </c>
      <c r="L79" s="1" t="s">
        <v>44</v>
      </c>
      <c r="M79" s="1" t="s">
        <v>38</v>
      </c>
    </row>
    <row r="80" spans="1:13" ht="14.25" customHeight="1" x14ac:dyDescent="0.3">
      <c r="A80" s="1" t="s">
        <v>204</v>
      </c>
      <c r="B80" s="1" t="s">
        <v>31</v>
      </c>
      <c r="C80" s="1" t="s">
        <v>205</v>
      </c>
      <c r="D80" s="1" t="s">
        <v>42</v>
      </c>
      <c r="E80" s="1" t="s">
        <v>43</v>
      </c>
      <c r="F80" s="1">
        <v>3068</v>
      </c>
      <c r="G80" s="1">
        <v>137</v>
      </c>
      <c r="H80" s="1">
        <v>329</v>
      </c>
      <c r="I80" s="1">
        <v>39884</v>
      </c>
      <c r="J80" s="1">
        <v>39404</v>
      </c>
      <c r="K80" s="1">
        <v>266</v>
      </c>
      <c r="L80" s="1" t="s">
        <v>102</v>
      </c>
      <c r="M80" s="1" t="s">
        <v>38</v>
      </c>
    </row>
    <row r="81" spans="1:13" ht="14.25" customHeight="1" x14ac:dyDescent="0.3">
      <c r="A81" s="1" t="s">
        <v>206</v>
      </c>
      <c r="B81" s="1" t="s">
        <v>31</v>
      </c>
      <c r="C81" s="1" t="s">
        <v>152</v>
      </c>
      <c r="D81" s="1" t="s">
        <v>33</v>
      </c>
      <c r="E81" s="1" t="s">
        <v>34</v>
      </c>
      <c r="F81" s="1">
        <v>2103</v>
      </c>
      <c r="G81" s="1">
        <v>892</v>
      </c>
      <c r="H81" s="1">
        <v>103</v>
      </c>
      <c r="I81" s="1">
        <v>39957</v>
      </c>
      <c r="J81" s="1">
        <v>39466</v>
      </c>
      <c r="K81" s="1">
        <v>28</v>
      </c>
      <c r="L81" s="1" t="s">
        <v>144</v>
      </c>
      <c r="M81" s="1" t="s">
        <v>25</v>
      </c>
    </row>
    <row r="82" spans="1:13" ht="14.25" customHeight="1" x14ac:dyDescent="0.3">
      <c r="A82" s="1" t="s">
        <v>207</v>
      </c>
      <c r="B82" s="1" t="s">
        <v>31</v>
      </c>
      <c r="C82" s="1" t="s">
        <v>208</v>
      </c>
      <c r="D82" s="1" t="s">
        <v>33</v>
      </c>
      <c r="E82" s="1" t="s">
        <v>34</v>
      </c>
      <c r="F82" s="1">
        <v>1816</v>
      </c>
      <c r="G82" s="1">
        <v>29</v>
      </c>
      <c r="H82" s="1">
        <v>41</v>
      </c>
      <c r="I82" s="1">
        <v>19976</v>
      </c>
      <c r="J82" s="1">
        <v>19262</v>
      </c>
      <c r="K82" s="1">
        <v>283</v>
      </c>
      <c r="L82" s="1" t="s">
        <v>209</v>
      </c>
      <c r="M82" s="1" t="s">
        <v>38</v>
      </c>
    </row>
    <row r="83" spans="1:13" ht="14.25" customHeight="1" x14ac:dyDescent="0.3">
      <c r="A83" s="1" t="s">
        <v>210</v>
      </c>
      <c r="B83" s="1" t="s">
        <v>31</v>
      </c>
      <c r="C83" s="1" t="s">
        <v>211</v>
      </c>
      <c r="D83" s="1" t="s">
        <v>49</v>
      </c>
      <c r="E83" s="1" t="s">
        <v>50</v>
      </c>
      <c r="F83" s="1">
        <v>725</v>
      </c>
      <c r="G83" s="1">
        <v>88</v>
      </c>
      <c r="H83" s="1">
        <v>428</v>
      </c>
      <c r="I83" s="1">
        <v>14500</v>
      </c>
      <c r="J83" s="1">
        <v>13637</v>
      </c>
      <c r="K83" s="1">
        <v>200</v>
      </c>
      <c r="L83" s="1" t="s">
        <v>44</v>
      </c>
      <c r="M83" s="1" t="s">
        <v>38</v>
      </c>
    </row>
    <row r="84" spans="1:13" ht="14.25" customHeight="1" x14ac:dyDescent="0.3">
      <c r="A84" s="1" t="s">
        <v>212</v>
      </c>
      <c r="B84" s="1" t="s">
        <v>27</v>
      </c>
      <c r="C84" s="1" t="s">
        <v>213</v>
      </c>
      <c r="D84" s="1" t="s">
        <v>69</v>
      </c>
      <c r="E84" s="1" t="s">
        <v>70</v>
      </c>
      <c r="F84" s="1">
        <v>1094</v>
      </c>
      <c r="G84" s="1">
        <v>472</v>
      </c>
      <c r="H84" s="1">
        <v>21</v>
      </c>
      <c r="I84" s="1">
        <v>9846</v>
      </c>
      <c r="J84" s="1">
        <v>9609</v>
      </c>
      <c r="K84" s="1">
        <v>112</v>
      </c>
      <c r="L84" s="1" t="s">
        <v>214</v>
      </c>
      <c r="M84" s="1" t="s">
        <v>38</v>
      </c>
    </row>
    <row r="85" spans="1:13" ht="14.25" customHeight="1" x14ac:dyDescent="0.3">
      <c r="A85" s="1" t="s">
        <v>215</v>
      </c>
      <c r="B85" s="1" t="s">
        <v>40</v>
      </c>
      <c r="C85" s="1" t="s">
        <v>216</v>
      </c>
      <c r="D85" s="1" t="s">
        <v>49</v>
      </c>
      <c r="E85" s="1" t="s">
        <v>50</v>
      </c>
      <c r="F85" s="1">
        <v>1841</v>
      </c>
      <c r="G85" s="1">
        <v>851</v>
      </c>
      <c r="H85" s="1">
        <v>342</v>
      </c>
      <c r="I85" s="1">
        <v>34979</v>
      </c>
      <c r="J85" s="1">
        <v>34154</v>
      </c>
      <c r="K85" s="1">
        <v>255</v>
      </c>
      <c r="L85" s="1" t="s">
        <v>71</v>
      </c>
      <c r="M85" s="1" t="s">
        <v>19</v>
      </c>
    </row>
    <row r="86" spans="1:13" ht="14.25" customHeight="1" x14ac:dyDescent="0.3">
      <c r="A86" s="1" t="s">
        <v>217</v>
      </c>
      <c r="B86" s="1" t="s">
        <v>31</v>
      </c>
      <c r="C86" s="1" t="s">
        <v>120</v>
      </c>
      <c r="D86" s="1" t="s">
        <v>49</v>
      </c>
      <c r="E86" s="1" t="s">
        <v>50</v>
      </c>
      <c r="F86" s="1">
        <v>4177</v>
      </c>
      <c r="G86" s="1">
        <v>569</v>
      </c>
      <c r="H86" s="1">
        <v>55</v>
      </c>
      <c r="I86" s="1">
        <v>25062</v>
      </c>
      <c r="J86" s="1">
        <v>24847</v>
      </c>
      <c r="K86" s="1">
        <v>230</v>
      </c>
      <c r="L86" s="1" t="s">
        <v>24</v>
      </c>
      <c r="M86" s="1" t="s">
        <v>19</v>
      </c>
    </row>
    <row r="87" spans="1:13" ht="14.25" customHeight="1" x14ac:dyDescent="0.3">
      <c r="A87" s="1" t="s">
        <v>218</v>
      </c>
      <c r="B87" s="1" t="s">
        <v>27</v>
      </c>
      <c r="C87" s="1" t="s">
        <v>219</v>
      </c>
      <c r="D87" s="1" t="s">
        <v>22</v>
      </c>
      <c r="E87" s="1" t="s">
        <v>23</v>
      </c>
      <c r="F87" s="1">
        <v>3428</v>
      </c>
      <c r="G87" s="1">
        <v>305</v>
      </c>
      <c r="H87" s="1">
        <v>85</v>
      </c>
      <c r="I87" s="1">
        <v>58276</v>
      </c>
      <c r="J87" s="1">
        <v>58052</v>
      </c>
      <c r="K87" s="1">
        <v>242</v>
      </c>
      <c r="L87" s="1" t="s">
        <v>214</v>
      </c>
      <c r="M87" s="1" t="s">
        <v>38</v>
      </c>
    </row>
    <row r="88" spans="1:13" ht="14.25" customHeight="1" x14ac:dyDescent="0.3">
      <c r="A88" s="1" t="s">
        <v>220</v>
      </c>
      <c r="B88" s="1" t="s">
        <v>14</v>
      </c>
      <c r="C88" s="1" t="s">
        <v>221</v>
      </c>
      <c r="D88" s="1" t="s">
        <v>69</v>
      </c>
      <c r="E88" s="1" t="s">
        <v>70</v>
      </c>
      <c r="F88" s="1">
        <v>1436</v>
      </c>
      <c r="G88" s="1">
        <v>765</v>
      </c>
      <c r="H88" s="1">
        <v>496</v>
      </c>
      <c r="I88" s="1">
        <v>12924</v>
      </c>
      <c r="J88" s="1">
        <v>12701</v>
      </c>
      <c r="K88" s="1">
        <v>197</v>
      </c>
      <c r="L88" s="1" t="s">
        <v>209</v>
      </c>
      <c r="M88" s="1" t="s">
        <v>25</v>
      </c>
    </row>
    <row r="89" spans="1:13" ht="14.25" customHeight="1" x14ac:dyDescent="0.3">
      <c r="A89" s="1" t="s">
        <v>222</v>
      </c>
      <c r="B89" s="1" t="s">
        <v>40</v>
      </c>
      <c r="C89" s="1" t="s">
        <v>223</v>
      </c>
      <c r="D89" s="1" t="s">
        <v>33</v>
      </c>
      <c r="E89" s="1" t="s">
        <v>34</v>
      </c>
      <c r="F89" s="1">
        <v>302</v>
      </c>
      <c r="G89" s="1">
        <v>47</v>
      </c>
      <c r="H89" s="1">
        <v>430</v>
      </c>
      <c r="I89" s="1">
        <v>5738</v>
      </c>
      <c r="J89" s="1">
        <v>4890</v>
      </c>
      <c r="K89" s="1">
        <v>25</v>
      </c>
      <c r="L89" s="1" t="s">
        <v>29</v>
      </c>
      <c r="M89" s="1" t="s">
        <v>25</v>
      </c>
    </row>
    <row r="90" spans="1:13" ht="14.25" customHeight="1" x14ac:dyDescent="0.3">
      <c r="A90" s="1" t="s">
        <v>224</v>
      </c>
      <c r="B90" s="1" t="s">
        <v>14</v>
      </c>
      <c r="C90" s="1" t="s">
        <v>225</v>
      </c>
      <c r="D90" s="1" t="s">
        <v>49</v>
      </c>
      <c r="E90" s="1" t="s">
        <v>50</v>
      </c>
      <c r="F90" s="1">
        <v>2214</v>
      </c>
      <c r="G90" s="1">
        <v>249</v>
      </c>
      <c r="H90" s="1">
        <v>152</v>
      </c>
      <c r="I90" s="1">
        <v>15498</v>
      </c>
      <c r="J90" s="1">
        <v>14800</v>
      </c>
      <c r="K90" s="1">
        <v>180</v>
      </c>
      <c r="L90" s="1" t="s">
        <v>18</v>
      </c>
      <c r="M90" s="1" t="s">
        <v>25</v>
      </c>
    </row>
    <row r="91" spans="1:13" ht="14.25" customHeight="1" x14ac:dyDescent="0.3">
      <c r="A91" s="1" t="s">
        <v>226</v>
      </c>
      <c r="B91" s="1" t="s">
        <v>31</v>
      </c>
      <c r="C91" s="1" t="s">
        <v>227</v>
      </c>
      <c r="D91" s="1" t="s">
        <v>49</v>
      </c>
      <c r="E91" s="1" t="s">
        <v>50</v>
      </c>
      <c r="F91" s="1">
        <v>3861</v>
      </c>
      <c r="G91" s="1">
        <v>960</v>
      </c>
      <c r="H91" s="1">
        <v>101</v>
      </c>
      <c r="I91" s="1">
        <v>69498</v>
      </c>
      <c r="J91" s="1">
        <v>68817</v>
      </c>
      <c r="K91" s="1">
        <v>297</v>
      </c>
      <c r="L91" s="1" t="s">
        <v>24</v>
      </c>
      <c r="M91" s="1" t="s">
        <v>25</v>
      </c>
    </row>
    <row r="92" spans="1:13" ht="14.25" customHeight="1" x14ac:dyDescent="0.3">
      <c r="A92" s="1" t="s">
        <v>228</v>
      </c>
      <c r="B92" s="1" t="s">
        <v>40</v>
      </c>
      <c r="C92" s="1" t="s">
        <v>229</v>
      </c>
      <c r="D92" s="1" t="s">
        <v>49</v>
      </c>
      <c r="E92" s="1" t="s">
        <v>50</v>
      </c>
      <c r="F92" s="1">
        <v>1263</v>
      </c>
      <c r="G92" s="1">
        <v>397</v>
      </c>
      <c r="H92" s="1">
        <v>357</v>
      </c>
      <c r="I92" s="1">
        <v>25260</v>
      </c>
      <c r="J92" s="1">
        <v>24615</v>
      </c>
      <c r="K92" s="1">
        <v>137</v>
      </c>
      <c r="L92" s="1" t="s">
        <v>18</v>
      </c>
      <c r="M92" s="1" t="s">
        <v>25</v>
      </c>
    </row>
    <row r="93" spans="1:13" ht="14.25" customHeight="1" x14ac:dyDescent="0.3">
      <c r="A93" s="1" t="s">
        <v>230</v>
      </c>
      <c r="B93" s="1" t="s">
        <v>14</v>
      </c>
      <c r="C93" s="1" t="s">
        <v>164</v>
      </c>
      <c r="D93" s="1" t="s">
        <v>33</v>
      </c>
      <c r="E93" s="1" t="s">
        <v>34</v>
      </c>
      <c r="F93" s="1">
        <v>3801</v>
      </c>
      <c r="G93" s="1">
        <v>967</v>
      </c>
      <c r="H93" s="1">
        <v>401</v>
      </c>
      <c r="I93" s="1">
        <v>38010</v>
      </c>
      <c r="J93" s="1">
        <v>37625</v>
      </c>
      <c r="K93" s="1">
        <v>236</v>
      </c>
      <c r="L93" s="1" t="s">
        <v>58</v>
      </c>
      <c r="M93" s="1" t="s">
        <v>55</v>
      </c>
    </row>
    <row r="94" spans="1:13" ht="14.25" customHeight="1" x14ac:dyDescent="0.3">
      <c r="A94" s="1" t="s">
        <v>231</v>
      </c>
      <c r="B94" s="1" t="s">
        <v>31</v>
      </c>
      <c r="C94" s="1" t="s">
        <v>232</v>
      </c>
      <c r="D94" s="1" t="s">
        <v>69</v>
      </c>
      <c r="E94" s="1" t="s">
        <v>70</v>
      </c>
      <c r="F94" s="1">
        <v>1431</v>
      </c>
      <c r="G94" s="1">
        <v>951</v>
      </c>
      <c r="H94" s="1">
        <v>26</v>
      </c>
      <c r="I94" s="1">
        <v>8586</v>
      </c>
      <c r="J94" s="1">
        <v>8396</v>
      </c>
      <c r="K94" s="1">
        <v>150</v>
      </c>
      <c r="L94" s="1" t="s">
        <v>116</v>
      </c>
      <c r="M94" s="1" t="s">
        <v>19</v>
      </c>
    </row>
    <row r="95" spans="1:13" ht="14.25" customHeight="1" x14ac:dyDescent="0.3">
      <c r="A95" s="1" t="s">
        <v>233</v>
      </c>
      <c r="B95" s="1" t="s">
        <v>31</v>
      </c>
      <c r="C95" s="1" t="s">
        <v>201</v>
      </c>
      <c r="D95" s="1" t="s">
        <v>49</v>
      </c>
      <c r="E95" s="1" t="s">
        <v>50</v>
      </c>
      <c r="F95" s="1">
        <v>2647</v>
      </c>
      <c r="G95" s="1">
        <v>304</v>
      </c>
      <c r="H95" s="1">
        <v>170</v>
      </c>
      <c r="I95" s="1">
        <v>18529</v>
      </c>
      <c r="J95" s="1">
        <v>17841</v>
      </c>
      <c r="K95" s="1">
        <v>46</v>
      </c>
      <c r="L95" s="1" t="s">
        <v>58</v>
      </c>
      <c r="M95" s="1" t="s">
        <v>25</v>
      </c>
    </row>
    <row r="96" spans="1:13" ht="14.25" customHeight="1" x14ac:dyDescent="0.3">
      <c r="A96" s="1" t="s">
        <v>234</v>
      </c>
      <c r="B96" s="1" t="s">
        <v>31</v>
      </c>
      <c r="C96" s="1" t="s">
        <v>235</v>
      </c>
      <c r="D96" s="1" t="s">
        <v>22</v>
      </c>
      <c r="E96" s="1" t="s">
        <v>23</v>
      </c>
      <c r="F96" s="1">
        <v>3182</v>
      </c>
      <c r="G96" s="1">
        <v>559</v>
      </c>
      <c r="H96" s="1">
        <v>160</v>
      </c>
      <c r="I96" s="1">
        <v>57276</v>
      </c>
      <c r="J96" s="1">
        <v>56890</v>
      </c>
      <c r="K96" s="1">
        <v>163</v>
      </c>
      <c r="L96" s="1" t="s">
        <v>87</v>
      </c>
      <c r="M96" s="1" t="s">
        <v>25</v>
      </c>
    </row>
    <row r="97" spans="1:13" ht="14.25" customHeight="1" x14ac:dyDescent="0.3">
      <c r="A97" s="1" t="s">
        <v>236</v>
      </c>
      <c r="B97" s="1" t="s">
        <v>14</v>
      </c>
      <c r="C97" s="1" t="s">
        <v>237</v>
      </c>
      <c r="D97" s="1" t="s">
        <v>49</v>
      </c>
      <c r="E97" s="1" t="s">
        <v>50</v>
      </c>
      <c r="F97" s="1">
        <v>1238</v>
      </c>
      <c r="G97" s="1">
        <v>366</v>
      </c>
      <c r="H97" s="1">
        <v>444</v>
      </c>
      <c r="I97" s="1">
        <v>19808</v>
      </c>
      <c r="J97" s="1">
        <v>19334</v>
      </c>
      <c r="K97" s="1">
        <v>123</v>
      </c>
      <c r="L97" s="1" t="s">
        <v>77</v>
      </c>
      <c r="M97" s="1" t="s">
        <v>38</v>
      </c>
    </row>
    <row r="98" spans="1:13" ht="14.25" customHeight="1" x14ac:dyDescent="0.3">
      <c r="A98" s="1" t="s">
        <v>238</v>
      </c>
      <c r="B98" s="1" t="s">
        <v>31</v>
      </c>
      <c r="C98" s="1" t="s">
        <v>239</v>
      </c>
      <c r="D98" s="1" t="s">
        <v>49</v>
      </c>
      <c r="E98" s="1" t="s">
        <v>50</v>
      </c>
      <c r="F98" s="1">
        <v>4739</v>
      </c>
      <c r="G98" s="1">
        <v>527</v>
      </c>
      <c r="H98" s="1">
        <v>135</v>
      </c>
      <c r="I98" s="1">
        <v>61607</v>
      </c>
      <c r="J98" s="1">
        <v>61333</v>
      </c>
      <c r="K98" s="1">
        <v>36</v>
      </c>
      <c r="L98" s="1" t="s">
        <v>61</v>
      </c>
      <c r="M98" s="1" t="s">
        <v>25</v>
      </c>
    </row>
    <row r="99" spans="1:13" ht="14.25" customHeight="1" x14ac:dyDescent="0.3">
      <c r="A99" s="1" t="s">
        <v>240</v>
      </c>
      <c r="B99" s="1" t="s">
        <v>14</v>
      </c>
      <c r="C99" s="1" t="s">
        <v>148</v>
      </c>
      <c r="D99" s="1" t="s">
        <v>33</v>
      </c>
      <c r="E99" s="1" t="s">
        <v>34</v>
      </c>
      <c r="F99" s="1">
        <v>1575</v>
      </c>
      <c r="G99" s="1">
        <v>771</v>
      </c>
      <c r="H99" s="1">
        <v>486</v>
      </c>
      <c r="I99" s="1">
        <v>25200</v>
      </c>
      <c r="J99" s="1">
        <v>24826</v>
      </c>
      <c r="K99" s="1">
        <v>17</v>
      </c>
      <c r="L99" s="1" t="s">
        <v>58</v>
      </c>
      <c r="M99" s="1" t="s">
        <v>38</v>
      </c>
    </row>
    <row r="100" spans="1:13" ht="14.25" customHeight="1" x14ac:dyDescent="0.3">
      <c r="A100" s="1" t="s">
        <v>241</v>
      </c>
      <c r="B100" s="1" t="s">
        <v>27</v>
      </c>
      <c r="C100" s="1" t="s">
        <v>242</v>
      </c>
      <c r="D100" s="1" t="s">
        <v>42</v>
      </c>
      <c r="E100" s="1" t="s">
        <v>43</v>
      </c>
      <c r="F100" s="1">
        <v>4171</v>
      </c>
      <c r="G100" s="1">
        <v>548</v>
      </c>
      <c r="H100" s="1">
        <v>86</v>
      </c>
      <c r="I100" s="1">
        <v>66736</v>
      </c>
      <c r="J100" s="1">
        <v>66634</v>
      </c>
      <c r="K100" s="1">
        <v>173</v>
      </c>
      <c r="L100" s="1" t="s">
        <v>58</v>
      </c>
      <c r="M100" s="1" t="s">
        <v>38</v>
      </c>
    </row>
    <row r="101" spans="1:13" ht="14.25" customHeight="1" x14ac:dyDescent="0.3">
      <c r="A101" s="1" t="s">
        <v>243</v>
      </c>
      <c r="B101" s="1" t="s">
        <v>27</v>
      </c>
      <c r="C101" s="1" t="s">
        <v>244</v>
      </c>
      <c r="D101" s="1" t="s">
        <v>69</v>
      </c>
      <c r="E101" s="1" t="s">
        <v>70</v>
      </c>
      <c r="F101" s="1">
        <v>1766</v>
      </c>
      <c r="G101" s="1">
        <v>92</v>
      </c>
      <c r="H101" s="1">
        <v>424</v>
      </c>
      <c r="I101" s="1">
        <v>24724</v>
      </c>
      <c r="J101" s="1">
        <v>24333</v>
      </c>
      <c r="K101" s="1">
        <v>52</v>
      </c>
      <c r="L101" s="1" t="s">
        <v>58</v>
      </c>
      <c r="M101" s="1" t="s">
        <v>19</v>
      </c>
    </row>
    <row r="102" spans="1:13" ht="14.25" customHeight="1" x14ac:dyDescent="0.3">
      <c r="A102" s="1" t="s">
        <v>245</v>
      </c>
      <c r="B102" s="1" t="s">
        <v>27</v>
      </c>
      <c r="C102" s="1" t="s">
        <v>195</v>
      </c>
      <c r="D102" s="1" t="s">
        <v>69</v>
      </c>
      <c r="E102" s="1" t="s">
        <v>70</v>
      </c>
      <c r="F102" s="1">
        <v>4450</v>
      </c>
      <c r="G102" s="1">
        <v>983</v>
      </c>
      <c r="H102" s="1">
        <v>143</v>
      </c>
      <c r="I102" s="1">
        <v>75650</v>
      </c>
      <c r="J102" s="1">
        <v>75008</v>
      </c>
      <c r="K102" s="1">
        <v>12</v>
      </c>
      <c r="L102" s="1" t="s">
        <v>82</v>
      </c>
      <c r="M102" s="1" t="s">
        <v>25</v>
      </c>
    </row>
    <row r="103" spans="1:13" ht="14.25" customHeight="1" x14ac:dyDescent="0.3">
      <c r="A103" s="1" t="s">
        <v>246</v>
      </c>
      <c r="B103" s="1" t="s">
        <v>14</v>
      </c>
      <c r="C103" s="1" t="s">
        <v>247</v>
      </c>
      <c r="D103" s="1" t="s">
        <v>16</v>
      </c>
      <c r="E103" s="1" t="s">
        <v>17</v>
      </c>
      <c r="F103" s="1">
        <v>1000</v>
      </c>
      <c r="G103" s="1">
        <v>978</v>
      </c>
      <c r="H103" s="1">
        <v>162</v>
      </c>
      <c r="I103" s="1">
        <v>6000</v>
      </c>
      <c r="J103" s="1">
        <v>5221</v>
      </c>
      <c r="K103" s="1">
        <v>223</v>
      </c>
      <c r="L103" s="1" t="s">
        <v>105</v>
      </c>
      <c r="M103" s="1" t="s">
        <v>38</v>
      </c>
    </row>
    <row r="104" spans="1:13" ht="14.25" customHeight="1" x14ac:dyDescent="0.3">
      <c r="A104" s="1" t="s">
        <v>248</v>
      </c>
      <c r="B104" s="1" t="s">
        <v>40</v>
      </c>
      <c r="C104" s="1" t="s">
        <v>249</v>
      </c>
      <c r="D104" s="1" t="s">
        <v>49</v>
      </c>
      <c r="E104" s="1" t="s">
        <v>50</v>
      </c>
      <c r="F104" s="1">
        <v>3689</v>
      </c>
      <c r="G104" s="1">
        <v>48</v>
      </c>
      <c r="H104" s="1">
        <v>306</v>
      </c>
      <c r="I104" s="1">
        <v>40579</v>
      </c>
      <c r="J104" s="1">
        <v>39588</v>
      </c>
      <c r="K104" s="1">
        <v>212</v>
      </c>
      <c r="L104" s="1" t="s">
        <v>44</v>
      </c>
      <c r="M104" s="1" t="s">
        <v>19</v>
      </c>
    </row>
    <row r="105" spans="1:13" ht="14.25" customHeight="1" x14ac:dyDescent="0.3">
      <c r="A105" s="1" t="s">
        <v>250</v>
      </c>
      <c r="B105" s="1" t="s">
        <v>27</v>
      </c>
      <c r="C105" s="1" t="s">
        <v>251</v>
      </c>
      <c r="D105" s="1" t="s">
        <v>33</v>
      </c>
      <c r="E105" s="1" t="s">
        <v>34</v>
      </c>
      <c r="F105" s="1">
        <v>3655</v>
      </c>
      <c r="G105" s="1">
        <v>568</v>
      </c>
      <c r="H105" s="1">
        <v>286</v>
      </c>
      <c r="I105" s="1">
        <v>32895</v>
      </c>
      <c r="J105" s="1">
        <v>32015</v>
      </c>
      <c r="K105" s="1">
        <v>199</v>
      </c>
      <c r="L105" s="1" t="s">
        <v>44</v>
      </c>
      <c r="M105" s="1" t="s">
        <v>55</v>
      </c>
    </row>
    <row r="106" spans="1:13" ht="14.25" customHeight="1" x14ac:dyDescent="0.3">
      <c r="A106" s="1" t="s">
        <v>252</v>
      </c>
      <c r="B106" s="1" t="s">
        <v>31</v>
      </c>
      <c r="C106" s="1" t="s">
        <v>253</v>
      </c>
      <c r="D106" s="1" t="s">
        <v>42</v>
      </c>
      <c r="E106" s="1" t="s">
        <v>43</v>
      </c>
      <c r="F106" s="1">
        <v>498</v>
      </c>
      <c r="G106" s="1">
        <v>38</v>
      </c>
      <c r="H106" s="1">
        <v>42</v>
      </c>
      <c r="I106" s="1">
        <v>4482</v>
      </c>
      <c r="J106" s="1">
        <v>3647</v>
      </c>
      <c r="K106" s="1">
        <v>32</v>
      </c>
      <c r="L106" s="1" t="s">
        <v>162</v>
      </c>
      <c r="M106" s="1" t="s">
        <v>55</v>
      </c>
    </row>
    <row r="107" spans="1:13" ht="14.25" customHeight="1" x14ac:dyDescent="0.3">
      <c r="A107" s="1" t="s">
        <v>254</v>
      </c>
      <c r="B107" s="1" t="s">
        <v>31</v>
      </c>
      <c r="C107" s="1" t="s">
        <v>255</v>
      </c>
      <c r="D107" s="1" t="s">
        <v>49</v>
      </c>
      <c r="E107" s="1" t="s">
        <v>50</v>
      </c>
      <c r="F107" s="1">
        <v>4619</v>
      </c>
      <c r="G107" s="1">
        <v>821</v>
      </c>
      <c r="H107" s="1">
        <v>499</v>
      </c>
      <c r="I107" s="1">
        <v>69285</v>
      </c>
      <c r="J107" s="1">
        <v>69141</v>
      </c>
      <c r="K107" s="1">
        <v>298</v>
      </c>
      <c r="L107" s="1" t="s">
        <v>24</v>
      </c>
      <c r="M107" s="1" t="s">
        <v>19</v>
      </c>
    </row>
    <row r="108" spans="1:13" ht="14.25" customHeight="1" x14ac:dyDescent="0.3">
      <c r="A108" s="1" t="s">
        <v>256</v>
      </c>
      <c r="B108" s="1" t="s">
        <v>27</v>
      </c>
      <c r="C108" s="1" t="s">
        <v>257</v>
      </c>
      <c r="D108" s="1" t="s">
        <v>49</v>
      </c>
      <c r="E108" s="1" t="s">
        <v>50</v>
      </c>
      <c r="F108" s="1">
        <v>4832</v>
      </c>
      <c r="G108" s="1">
        <v>893</v>
      </c>
      <c r="H108" s="1">
        <v>10</v>
      </c>
      <c r="I108" s="1">
        <v>91808</v>
      </c>
      <c r="J108" s="1">
        <v>91296</v>
      </c>
      <c r="K108" s="1">
        <v>182</v>
      </c>
      <c r="L108" s="1" t="s">
        <v>82</v>
      </c>
      <c r="M108" s="1" t="s">
        <v>38</v>
      </c>
    </row>
    <row r="109" spans="1:13" ht="14.25" customHeight="1" x14ac:dyDescent="0.3">
      <c r="A109" s="1" t="s">
        <v>258</v>
      </c>
      <c r="B109" s="1" t="s">
        <v>14</v>
      </c>
      <c r="C109" s="1" t="s">
        <v>259</v>
      </c>
      <c r="D109" s="1" t="s">
        <v>69</v>
      </c>
      <c r="E109" s="1" t="s">
        <v>70</v>
      </c>
      <c r="F109" s="1">
        <v>4050</v>
      </c>
      <c r="G109" s="1">
        <v>871</v>
      </c>
      <c r="H109" s="1">
        <v>347</v>
      </c>
      <c r="I109" s="1">
        <v>52650</v>
      </c>
      <c r="J109" s="1">
        <v>51755</v>
      </c>
      <c r="K109" s="1">
        <v>209</v>
      </c>
      <c r="L109" s="1" t="s">
        <v>162</v>
      </c>
      <c r="M109" s="1" t="s">
        <v>19</v>
      </c>
    </row>
    <row r="110" spans="1:13" ht="14.25" customHeight="1" x14ac:dyDescent="0.3">
      <c r="A110" s="1" t="s">
        <v>260</v>
      </c>
      <c r="B110" s="1" t="s">
        <v>14</v>
      </c>
      <c r="C110" s="1" t="s">
        <v>261</v>
      </c>
      <c r="D110" s="1" t="s">
        <v>33</v>
      </c>
      <c r="E110" s="1" t="s">
        <v>34</v>
      </c>
      <c r="F110" s="1">
        <v>3649</v>
      </c>
      <c r="G110" s="1">
        <v>215</v>
      </c>
      <c r="H110" s="1">
        <v>413</v>
      </c>
      <c r="I110" s="1">
        <v>25543</v>
      </c>
      <c r="J110" s="1">
        <v>24963</v>
      </c>
      <c r="K110" s="1">
        <v>167</v>
      </c>
      <c r="L110" s="1" t="s">
        <v>146</v>
      </c>
      <c r="M110" s="1" t="s">
        <v>19</v>
      </c>
    </row>
    <row r="111" spans="1:13" ht="14.25" customHeight="1" x14ac:dyDescent="0.3">
      <c r="A111" s="1" t="s">
        <v>262</v>
      </c>
      <c r="B111" s="1" t="s">
        <v>31</v>
      </c>
      <c r="C111" s="1" t="s">
        <v>263</v>
      </c>
      <c r="D111" s="1" t="s">
        <v>16</v>
      </c>
      <c r="E111" s="1" t="s">
        <v>17</v>
      </c>
      <c r="F111" s="1">
        <v>3523</v>
      </c>
      <c r="G111" s="1">
        <v>753</v>
      </c>
      <c r="H111" s="1">
        <v>482</v>
      </c>
      <c r="I111" s="1">
        <v>38753</v>
      </c>
      <c r="J111" s="1">
        <v>38579</v>
      </c>
      <c r="K111" s="1">
        <v>270</v>
      </c>
      <c r="L111" s="1" t="s">
        <v>264</v>
      </c>
      <c r="M111" s="1" t="s">
        <v>25</v>
      </c>
    </row>
    <row r="112" spans="1:13" ht="14.25" customHeight="1" x14ac:dyDescent="0.3">
      <c r="A112" s="1" t="s">
        <v>265</v>
      </c>
      <c r="B112" s="1" t="s">
        <v>27</v>
      </c>
      <c r="C112" s="1" t="s">
        <v>266</v>
      </c>
      <c r="D112" s="1" t="s">
        <v>49</v>
      </c>
      <c r="E112" s="1" t="s">
        <v>50</v>
      </c>
      <c r="F112" s="1">
        <v>2719</v>
      </c>
      <c r="G112" s="1">
        <v>17</v>
      </c>
      <c r="H112" s="1">
        <v>285</v>
      </c>
      <c r="I112" s="1">
        <v>40785</v>
      </c>
      <c r="J112" s="1">
        <v>40281</v>
      </c>
      <c r="K112" s="1">
        <v>40</v>
      </c>
      <c r="L112" s="1" t="s">
        <v>146</v>
      </c>
      <c r="M112" s="1" t="s">
        <v>38</v>
      </c>
    </row>
    <row r="113" spans="1:13" ht="14.25" customHeight="1" x14ac:dyDescent="0.3">
      <c r="A113" s="1" t="s">
        <v>267</v>
      </c>
      <c r="B113" s="1" t="s">
        <v>14</v>
      </c>
      <c r="C113" s="1" t="s">
        <v>268</v>
      </c>
      <c r="D113" s="1" t="s">
        <v>33</v>
      </c>
      <c r="E113" s="1" t="s">
        <v>34</v>
      </c>
      <c r="F113" s="1">
        <v>1957</v>
      </c>
      <c r="G113" s="1">
        <v>877</v>
      </c>
      <c r="H113" s="1">
        <v>238</v>
      </c>
      <c r="I113" s="1">
        <v>17613</v>
      </c>
      <c r="J113" s="1">
        <v>16865</v>
      </c>
      <c r="K113" s="1">
        <v>297</v>
      </c>
      <c r="L113" s="1" t="s">
        <v>29</v>
      </c>
      <c r="M113" s="1" t="s">
        <v>38</v>
      </c>
    </row>
    <row r="114" spans="1:13" ht="14.25" customHeight="1" x14ac:dyDescent="0.3">
      <c r="A114" s="1" t="s">
        <v>269</v>
      </c>
      <c r="B114" s="1" t="s">
        <v>14</v>
      </c>
      <c r="C114" s="1" t="s">
        <v>270</v>
      </c>
      <c r="D114" s="1" t="s">
        <v>42</v>
      </c>
      <c r="E114" s="1" t="s">
        <v>43</v>
      </c>
      <c r="F114" s="1">
        <v>4419</v>
      </c>
      <c r="G114" s="1">
        <v>236</v>
      </c>
      <c r="H114" s="1">
        <v>369</v>
      </c>
      <c r="I114" s="1">
        <v>44190</v>
      </c>
      <c r="J114" s="1">
        <v>43582</v>
      </c>
      <c r="K114" s="1">
        <v>10</v>
      </c>
      <c r="L114" s="1" t="s">
        <v>44</v>
      </c>
      <c r="M114" s="1" t="s">
        <v>55</v>
      </c>
    </row>
    <row r="115" spans="1:13" ht="14.25" customHeight="1" x14ac:dyDescent="0.3">
      <c r="A115" s="1" t="s">
        <v>271</v>
      </c>
      <c r="B115" s="1" t="s">
        <v>14</v>
      </c>
      <c r="C115" s="1" t="s">
        <v>272</v>
      </c>
      <c r="D115" s="1" t="s">
        <v>33</v>
      </c>
      <c r="E115" s="1" t="s">
        <v>34</v>
      </c>
      <c r="F115" s="1">
        <v>4000</v>
      </c>
      <c r="G115" s="1">
        <v>689</v>
      </c>
      <c r="H115" s="1">
        <v>488</v>
      </c>
      <c r="I115" s="1">
        <v>40000</v>
      </c>
      <c r="J115" s="1">
        <v>39569</v>
      </c>
      <c r="K115" s="1">
        <v>44</v>
      </c>
      <c r="L115" s="1" t="s">
        <v>144</v>
      </c>
      <c r="M115" s="1" t="s">
        <v>38</v>
      </c>
    </row>
    <row r="116" spans="1:13" ht="14.25" customHeight="1" x14ac:dyDescent="0.3">
      <c r="A116" s="1" t="s">
        <v>273</v>
      </c>
      <c r="B116" s="1" t="s">
        <v>14</v>
      </c>
      <c r="C116" s="1" t="s">
        <v>274</v>
      </c>
      <c r="D116" s="1" t="s">
        <v>49</v>
      </c>
      <c r="E116" s="1" t="s">
        <v>50</v>
      </c>
      <c r="F116" s="1">
        <v>2493</v>
      </c>
      <c r="G116" s="1">
        <v>97</v>
      </c>
      <c r="H116" s="1">
        <v>44</v>
      </c>
      <c r="I116" s="1">
        <v>42381</v>
      </c>
      <c r="J116" s="1">
        <v>41991</v>
      </c>
      <c r="K116" s="1">
        <v>242</v>
      </c>
      <c r="L116" s="1" t="s">
        <v>82</v>
      </c>
      <c r="M116" s="1" t="s">
        <v>19</v>
      </c>
    </row>
    <row r="117" spans="1:13" ht="14.25" customHeight="1" x14ac:dyDescent="0.3">
      <c r="A117" s="1" t="s">
        <v>275</v>
      </c>
      <c r="B117" s="1" t="s">
        <v>27</v>
      </c>
      <c r="C117" s="1" t="s">
        <v>276</v>
      </c>
      <c r="D117" s="1" t="s">
        <v>16</v>
      </c>
      <c r="E117" s="1" t="s">
        <v>17</v>
      </c>
      <c r="F117" s="1">
        <v>3704</v>
      </c>
      <c r="G117" s="1">
        <v>186</v>
      </c>
      <c r="H117" s="1">
        <v>458</v>
      </c>
      <c r="I117" s="1">
        <v>25928</v>
      </c>
      <c r="J117" s="1">
        <v>25081</v>
      </c>
      <c r="K117" s="1">
        <v>131</v>
      </c>
      <c r="L117" s="1" t="s">
        <v>58</v>
      </c>
      <c r="M117" s="1" t="s">
        <v>19</v>
      </c>
    </row>
    <row r="118" spans="1:13" ht="14.25" customHeight="1" x14ac:dyDescent="0.3">
      <c r="A118" s="1" t="s">
        <v>277</v>
      </c>
      <c r="B118" s="1" t="s">
        <v>14</v>
      </c>
      <c r="C118" s="1" t="s">
        <v>278</v>
      </c>
      <c r="D118" s="1" t="s">
        <v>49</v>
      </c>
      <c r="E118" s="1" t="s">
        <v>50</v>
      </c>
      <c r="F118" s="1">
        <v>1606</v>
      </c>
      <c r="G118" s="1">
        <v>451</v>
      </c>
      <c r="H118" s="1">
        <v>405</v>
      </c>
      <c r="I118" s="1">
        <v>20878</v>
      </c>
      <c r="J118" s="1">
        <v>20190</v>
      </c>
      <c r="K118" s="1">
        <v>219</v>
      </c>
      <c r="L118" s="1" t="s">
        <v>82</v>
      </c>
      <c r="M118" s="1" t="s">
        <v>25</v>
      </c>
    </row>
    <row r="119" spans="1:13" ht="14.25" customHeight="1" x14ac:dyDescent="0.3">
      <c r="A119" s="1" t="s">
        <v>279</v>
      </c>
      <c r="B119" s="1" t="s">
        <v>40</v>
      </c>
      <c r="C119" s="1" t="s">
        <v>278</v>
      </c>
      <c r="D119" s="1" t="s">
        <v>49</v>
      </c>
      <c r="E119" s="1" t="s">
        <v>50</v>
      </c>
      <c r="F119" s="1">
        <v>4551</v>
      </c>
      <c r="G119" s="1">
        <v>714</v>
      </c>
      <c r="H119" s="1">
        <v>207</v>
      </c>
      <c r="I119" s="1">
        <v>68265</v>
      </c>
      <c r="J119" s="1">
        <v>67754</v>
      </c>
      <c r="K119" s="1">
        <v>57</v>
      </c>
      <c r="L119" s="1" t="s">
        <v>44</v>
      </c>
      <c r="M119" s="1" t="s">
        <v>25</v>
      </c>
    </row>
    <row r="120" spans="1:13" ht="14.25" customHeight="1" x14ac:dyDescent="0.3">
      <c r="A120" s="1" t="s">
        <v>280</v>
      </c>
      <c r="B120" s="1" t="s">
        <v>31</v>
      </c>
      <c r="C120" s="1" t="s">
        <v>281</v>
      </c>
      <c r="D120" s="1" t="s">
        <v>16</v>
      </c>
      <c r="E120" s="1" t="s">
        <v>17</v>
      </c>
      <c r="F120" s="1">
        <v>1970</v>
      </c>
      <c r="G120" s="1">
        <v>675</v>
      </c>
      <c r="H120" s="1">
        <v>478</v>
      </c>
      <c r="I120" s="1">
        <v>9850</v>
      </c>
      <c r="J120" s="1">
        <v>8924</v>
      </c>
      <c r="K120" s="1">
        <v>117</v>
      </c>
      <c r="L120" s="1" t="s">
        <v>44</v>
      </c>
      <c r="M120" s="1" t="s">
        <v>55</v>
      </c>
    </row>
    <row r="121" spans="1:13" ht="14.25" customHeight="1" x14ac:dyDescent="0.3">
      <c r="A121" s="1" t="s">
        <v>282</v>
      </c>
      <c r="B121" s="1" t="s">
        <v>40</v>
      </c>
      <c r="C121" s="1" t="s">
        <v>164</v>
      </c>
      <c r="D121" s="1" t="s">
        <v>33</v>
      </c>
      <c r="E121" s="1" t="s">
        <v>34</v>
      </c>
      <c r="F121" s="1">
        <v>780</v>
      </c>
      <c r="G121" s="1">
        <v>928</v>
      </c>
      <c r="H121" s="1">
        <v>301</v>
      </c>
      <c r="I121" s="1">
        <v>8580</v>
      </c>
      <c r="J121" s="1">
        <v>8081</v>
      </c>
      <c r="K121" s="1">
        <v>91</v>
      </c>
      <c r="L121" s="1" t="s">
        <v>66</v>
      </c>
      <c r="M121" s="1" t="s">
        <v>55</v>
      </c>
    </row>
    <row r="122" spans="1:13" ht="14.25" customHeight="1" x14ac:dyDescent="0.3">
      <c r="A122" s="1" t="s">
        <v>283</v>
      </c>
      <c r="B122" s="1" t="s">
        <v>31</v>
      </c>
      <c r="C122" s="1" t="s">
        <v>263</v>
      </c>
      <c r="D122" s="1" t="s">
        <v>33</v>
      </c>
      <c r="E122" s="1" t="s">
        <v>34</v>
      </c>
      <c r="F122" s="1">
        <v>498</v>
      </c>
      <c r="G122" s="1">
        <v>701</v>
      </c>
      <c r="H122" s="1">
        <v>412</v>
      </c>
      <c r="I122" s="1">
        <v>4980</v>
      </c>
      <c r="J122" s="1">
        <v>4185</v>
      </c>
      <c r="K122" s="1">
        <v>185</v>
      </c>
      <c r="L122" s="1" t="s">
        <v>264</v>
      </c>
      <c r="M122" s="1" t="s">
        <v>55</v>
      </c>
    </row>
    <row r="123" spans="1:13" ht="14.25" customHeight="1" x14ac:dyDescent="0.3">
      <c r="A123" s="1" t="s">
        <v>284</v>
      </c>
      <c r="B123" s="1" t="s">
        <v>31</v>
      </c>
      <c r="C123" s="1" t="s">
        <v>270</v>
      </c>
      <c r="D123" s="1" t="s">
        <v>22</v>
      </c>
      <c r="E123" s="1" t="s">
        <v>23</v>
      </c>
      <c r="F123" s="1">
        <v>3432</v>
      </c>
      <c r="G123" s="1">
        <v>869</v>
      </c>
      <c r="H123" s="1">
        <v>123</v>
      </c>
      <c r="I123" s="1">
        <v>54912</v>
      </c>
      <c r="J123" s="1">
        <v>53916</v>
      </c>
      <c r="K123" s="1">
        <v>264</v>
      </c>
      <c r="L123" s="1" t="s">
        <v>285</v>
      </c>
      <c r="M123" s="1" t="s">
        <v>25</v>
      </c>
    </row>
    <row r="124" spans="1:13" ht="14.25" customHeight="1" x14ac:dyDescent="0.3">
      <c r="A124" s="1" t="s">
        <v>286</v>
      </c>
      <c r="B124" s="1" t="s">
        <v>31</v>
      </c>
      <c r="C124" s="1" t="s">
        <v>253</v>
      </c>
      <c r="D124" s="1" t="s">
        <v>33</v>
      </c>
      <c r="E124" s="1" t="s">
        <v>34</v>
      </c>
      <c r="F124" s="1">
        <v>4363</v>
      </c>
      <c r="G124" s="1">
        <v>649</v>
      </c>
      <c r="H124" s="1">
        <v>140</v>
      </c>
      <c r="I124" s="1">
        <v>21815</v>
      </c>
      <c r="J124" s="1">
        <v>21481</v>
      </c>
      <c r="K124" s="1">
        <v>157</v>
      </c>
      <c r="L124" s="1" t="s">
        <v>66</v>
      </c>
      <c r="M124" s="1" t="s">
        <v>25</v>
      </c>
    </row>
    <row r="125" spans="1:13" ht="14.25" customHeight="1" x14ac:dyDescent="0.3">
      <c r="A125" s="1" t="s">
        <v>287</v>
      </c>
      <c r="B125" s="1" t="s">
        <v>27</v>
      </c>
      <c r="C125" s="1" t="s">
        <v>288</v>
      </c>
      <c r="D125" s="1" t="s">
        <v>42</v>
      </c>
      <c r="E125" s="1" t="s">
        <v>43</v>
      </c>
      <c r="F125" s="1">
        <v>736</v>
      </c>
      <c r="G125" s="1">
        <v>771</v>
      </c>
      <c r="H125" s="1">
        <v>225</v>
      </c>
      <c r="I125" s="1">
        <v>5152</v>
      </c>
      <c r="J125" s="1">
        <v>4706</v>
      </c>
      <c r="K125" s="1">
        <v>19</v>
      </c>
      <c r="L125" s="1" t="s">
        <v>58</v>
      </c>
      <c r="M125" s="1" t="s">
        <v>38</v>
      </c>
    </row>
    <row r="126" spans="1:13" ht="14.25" customHeight="1" x14ac:dyDescent="0.3">
      <c r="A126" s="1" t="s">
        <v>289</v>
      </c>
      <c r="B126" s="1" t="s">
        <v>14</v>
      </c>
      <c r="C126" s="1" t="s">
        <v>290</v>
      </c>
      <c r="D126" s="1" t="s">
        <v>42</v>
      </c>
      <c r="E126" s="1" t="s">
        <v>43</v>
      </c>
      <c r="F126" s="1">
        <v>3811</v>
      </c>
      <c r="G126" s="1">
        <v>866</v>
      </c>
      <c r="H126" s="1">
        <v>216</v>
      </c>
      <c r="I126" s="1">
        <v>34299</v>
      </c>
      <c r="J126" s="1">
        <v>34088</v>
      </c>
      <c r="K126" s="1">
        <v>233</v>
      </c>
      <c r="L126" s="1" t="s">
        <v>58</v>
      </c>
      <c r="M126" s="1" t="s">
        <v>38</v>
      </c>
    </row>
    <row r="127" spans="1:13" ht="14.25" customHeight="1" x14ac:dyDescent="0.3">
      <c r="A127" s="1" t="s">
        <v>291</v>
      </c>
      <c r="B127" s="1" t="s">
        <v>31</v>
      </c>
      <c r="C127" s="1" t="s">
        <v>180</v>
      </c>
      <c r="D127" s="1" t="s">
        <v>42</v>
      </c>
      <c r="E127" s="1" t="s">
        <v>43</v>
      </c>
      <c r="F127" s="1">
        <v>4158</v>
      </c>
      <c r="G127" s="1">
        <v>167</v>
      </c>
      <c r="H127" s="1">
        <v>241</v>
      </c>
      <c r="I127" s="1">
        <v>45738</v>
      </c>
      <c r="J127" s="1">
        <v>45183</v>
      </c>
      <c r="K127" s="1">
        <v>142</v>
      </c>
      <c r="L127" s="1" t="s">
        <v>24</v>
      </c>
      <c r="M127" s="1" t="s">
        <v>25</v>
      </c>
    </row>
    <row r="128" spans="1:13" ht="14.25" customHeight="1" x14ac:dyDescent="0.3">
      <c r="A128" s="1" t="s">
        <v>292</v>
      </c>
      <c r="B128" s="1" t="s">
        <v>40</v>
      </c>
      <c r="C128" s="1" t="s">
        <v>219</v>
      </c>
      <c r="D128" s="1" t="s">
        <v>16</v>
      </c>
      <c r="E128" s="1" t="s">
        <v>17</v>
      </c>
      <c r="F128" s="1">
        <v>3452</v>
      </c>
      <c r="G128" s="1">
        <v>652</v>
      </c>
      <c r="H128" s="1">
        <v>442</v>
      </c>
      <c r="I128" s="1">
        <v>65588</v>
      </c>
      <c r="J128" s="1">
        <v>65049</v>
      </c>
      <c r="K128" s="1">
        <v>158</v>
      </c>
      <c r="L128" s="1" t="s">
        <v>82</v>
      </c>
      <c r="M128" s="1" t="s">
        <v>19</v>
      </c>
    </row>
    <row r="129" spans="1:13" ht="14.25" customHeight="1" x14ac:dyDescent="0.3">
      <c r="A129" s="1" t="s">
        <v>293</v>
      </c>
      <c r="B129" s="1" t="s">
        <v>14</v>
      </c>
      <c r="C129" s="1" t="s">
        <v>225</v>
      </c>
      <c r="D129" s="1" t="s">
        <v>49</v>
      </c>
      <c r="E129" s="1" t="s">
        <v>50</v>
      </c>
      <c r="F129" s="1">
        <v>3092</v>
      </c>
      <c r="G129" s="1">
        <v>106</v>
      </c>
      <c r="H129" s="1">
        <v>291</v>
      </c>
      <c r="I129" s="1">
        <v>27828</v>
      </c>
      <c r="J129" s="1">
        <v>27217</v>
      </c>
      <c r="K129" s="1">
        <v>102</v>
      </c>
      <c r="L129" s="1" t="s">
        <v>58</v>
      </c>
      <c r="M129" s="1" t="s">
        <v>55</v>
      </c>
    </row>
    <row r="130" spans="1:13" ht="14.25" customHeight="1" x14ac:dyDescent="0.3">
      <c r="A130" s="1" t="s">
        <v>294</v>
      </c>
      <c r="B130" s="1" t="s">
        <v>14</v>
      </c>
      <c r="C130" s="1" t="s">
        <v>60</v>
      </c>
      <c r="D130" s="1" t="s">
        <v>22</v>
      </c>
      <c r="E130" s="1" t="s">
        <v>23</v>
      </c>
      <c r="F130" s="1">
        <v>2147</v>
      </c>
      <c r="G130" s="1">
        <v>430</v>
      </c>
      <c r="H130" s="1">
        <v>393</v>
      </c>
      <c r="I130" s="1">
        <v>17176</v>
      </c>
      <c r="J130" s="1">
        <v>16483</v>
      </c>
      <c r="K130" s="1">
        <v>170</v>
      </c>
      <c r="L130" s="1" t="s">
        <v>77</v>
      </c>
      <c r="M130" s="1" t="s">
        <v>55</v>
      </c>
    </row>
    <row r="131" spans="1:13" ht="14.25" customHeight="1" x14ac:dyDescent="0.3">
      <c r="A131" s="1" t="s">
        <v>295</v>
      </c>
      <c r="B131" s="1" t="s">
        <v>27</v>
      </c>
      <c r="C131" s="1" t="s">
        <v>296</v>
      </c>
      <c r="D131" s="1" t="s">
        <v>16</v>
      </c>
      <c r="E131" s="1" t="s">
        <v>17</v>
      </c>
      <c r="F131" s="1">
        <v>2936</v>
      </c>
      <c r="G131" s="1">
        <v>439</v>
      </c>
      <c r="H131" s="1">
        <v>44</v>
      </c>
      <c r="I131" s="1">
        <v>38168</v>
      </c>
      <c r="J131" s="1">
        <v>37571</v>
      </c>
      <c r="K131" s="1">
        <v>22</v>
      </c>
      <c r="L131" s="1" t="s">
        <v>18</v>
      </c>
      <c r="M131" s="1" t="s">
        <v>38</v>
      </c>
    </row>
    <row r="132" spans="1:13" ht="14.25" customHeight="1" x14ac:dyDescent="0.3">
      <c r="A132" s="1" t="s">
        <v>297</v>
      </c>
      <c r="B132" s="1" t="s">
        <v>31</v>
      </c>
      <c r="C132" s="1" t="s">
        <v>164</v>
      </c>
      <c r="D132" s="1" t="s">
        <v>16</v>
      </c>
      <c r="E132" s="1" t="s">
        <v>17</v>
      </c>
      <c r="F132" s="1">
        <v>4840</v>
      </c>
      <c r="G132" s="1">
        <v>658</v>
      </c>
      <c r="H132" s="1">
        <v>211</v>
      </c>
      <c r="I132" s="1">
        <v>43560</v>
      </c>
      <c r="J132" s="1">
        <v>43225</v>
      </c>
      <c r="K132" s="1">
        <v>57</v>
      </c>
      <c r="L132" s="1" t="s">
        <v>66</v>
      </c>
      <c r="M132" s="1" t="s">
        <v>25</v>
      </c>
    </row>
    <row r="133" spans="1:13" ht="14.25" customHeight="1" x14ac:dyDescent="0.3">
      <c r="A133" s="1" t="s">
        <v>298</v>
      </c>
      <c r="B133" s="1" t="s">
        <v>31</v>
      </c>
      <c r="C133" s="1" t="s">
        <v>101</v>
      </c>
      <c r="D133" s="1" t="s">
        <v>33</v>
      </c>
      <c r="E133" s="1" t="s">
        <v>34</v>
      </c>
      <c r="F133" s="1">
        <v>1947</v>
      </c>
      <c r="G133" s="1">
        <v>842</v>
      </c>
      <c r="H133" s="1">
        <v>101</v>
      </c>
      <c r="I133" s="1">
        <v>21417</v>
      </c>
      <c r="J133" s="1">
        <v>20967</v>
      </c>
      <c r="K133" s="1">
        <v>186</v>
      </c>
      <c r="L133" s="1" t="s">
        <v>24</v>
      </c>
      <c r="M133" s="1" t="s">
        <v>25</v>
      </c>
    </row>
    <row r="134" spans="1:13" ht="14.25" customHeight="1" x14ac:dyDescent="0.3">
      <c r="A134" s="1" t="s">
        <v>299</v>
      </c>
      <c r="B134" s="1" t="s">
        <v>40</v>
      </c>
      <c r="C134" s="1" t="s">
        <v>300</v>
      </c>
      <c r="D134" s="1" t="s">
        <v>49</v>
      </c>
      <c r="E134" s="1" t="s">
        <v>50</v>
      </c>
      <c r="F134" s="1">
        <v>2072</v>
      </c>
      <c r="G134" s="1">
        <v>532</v>
      </c>
      <c r="H134" s="1">
        <v>71</v>
      </c>
      <c r="I134" s="1">
        <v>37296</v>
      </c>
      <c r="J134" s="1">
        <v>36467</v>
      </c>
      <c r="K134" s="1">
        <v>25</v>
      </c>
      <c r="L134" s="1" t="s">
        <v>18</v>
      </c>
      <c r="M134" s="1" t="s">
        <v>38</v>
      </c>
    </row>
    <row r="135" spans="1:13" ht="14.25" customHeight="1" x14ac:dyDescent="0.3">
      <c r="A135" s="1" t="s">
        <v>301</v>
      </c>
      <c r="B135" s="1" t="s">
        <v>14</v>
      </c>
      <c r="C135" s="1" t="s">
        <v>302</v>
      </c>
      <c r="D135" s="1" t="s">
        <v>16</v>
      </c>
      <c r="E135" s="1" t="s">
        <v>17</v>
      </c>
      <c r="F135" s="1">
        <v>3731</v>
      </c>
      <c r="G135" s="1">
        <v>115</v>
      </c>
      <c r="H135" s="1">
        <v>135</v>
      </c>
      <c r="I135" s="1">
        <v>55965</v>
      </c>
      <c r="J135" s="1">
        <v>55436</v>
      </c>
      <c r="K135" s="1">
        <v>103</v>
      </c>
      <c r="L135" s="1" t="s">
        <v>77</v>
      </c>
      <c r="M135" s="1" t="s">
        <v>55</v>
      </c>
    </row>
    <row r="136" spans="1:13" ht="14.25" customHeight="1" x14ac:dyDescent="0.3">
      <c r="A136" s="1" t="s">
        <v>303</v>
      </c>
      <c r="B136" s="1" t="s">
        <v>40</v>
      </c>
      <c r="C136" s="1" t="s">
        <v>304</v>
      </c>
      <c r="D136" s="1" t="s">
        <v>22</v>
      </c>
      <c r="E136" s="1" t="s">
        <v>23</v>
      </c>
      <c r="F136" s="1">
        <v>4213</v>
      </c>
      <c r="G136" s="1">
        <v>253</v>
      </c>
      <c r="H136" s="1">
        <v>434</v>
      </c>
      <c r="I136" s="1">
        <v>75834</v>
      </c>
      <c r="J136" s="1">
        <v>75437</v>
      </c>
      <c r="K136" s="1">
        <v>272</v>
      </c>
      <c r="L136" s="1" t="s">
        <v>44</v>
      </c>
      <c r="M136" s="1" t="s">
        <v>38</v>
      </c>
    </row>
    <row r="137" spans="1:13" ht="14.25" customHeight="1" x14ac:dyDescent="0.3">
      <c r="A137" s="1" t="s">
        <v>305</v>
      </c>
      <c r="B137" s="1" t="s">
        <v>31</v>
      </c>
      <c r="C137" s="1" t="s">
        <v>306</v>
      </c>
      <c r="D137" s="1" t="s">
        <v>22</v>
      </c>
      <c r="E137" s="1" t="s">
        <v>23</v>
      </c>
      <c r="F137" s="1">
        <v>3134</v>
      </c>
      <c r="G137" s="1">
        <v>888</v>
      </c>
      <c r="H137" s="1">
        <v>444</v>
      </c>
      <c r="I137" s="1">
        <v>21938</v>
      </c>
      <c r="J137" s="1">
        <v>21337</v>
      </c>
      <c r="K137" s="1">
        <v>130</v>
      </c>
      <c r="L137" s="1" t="s">
        <v>66</v>
      </c>
      <c r="M137" s="1" t="s">
        <v>55</v>
      </c>
    </row>
    <row r="138" spans="1:13" ht="14.25" customHeight="1" x14ac:dyDescent="0.3">
      <c r="A138" s="1" t="s">
        <v>307</v>
      </c>
      <c r="B138" s="1" t="s">
        <v>40</v>
      </c>
      <c r="C138" s="1" t="s">
        <v>111</v>
      </c>
      <c r="D138" s="1" t="s">
        <v>69</v>
      </c>
      <c r="E138" s="1" t="s">
        <v>70</v>
      </c>
      <c r="F138" s="1">
        <v>3008</v>
      </c>
      <c r="G138" s="1">
        <v>94</v>
      </c>
      <c r="H138" s="1">
        <v>37</v>
      </c>
      <c r="I138" s="1">
        <v>15040</v>
      </c>
      <c r="J138" s="1">
        <v>14639</v>
      </c>
      <c r="K138" s="1">
        <v>277</v>
      </c>
      <c r="L138" s="1" t="s">
        <v>77</v>
      </c>
      <c r="M138" s="1" t="s">
        <v>19</v>
      </c>
    </row>
    <row r="139" spans="1:13" ht="14.25" customHeight="1" x14ac:dyDescent="0.3">
      <c r="A139" s="1" t="s">
        <v>308</v>
      </c>
      <c r="B139" s="1" t="s">
        <v>14</v>
      </c>
      <c r="C139" s="1" t="s">
        <v>184</v>
      </c>
      <c r="D139" s="1" t="s">
        <v>49</v>
      </c>
      <c r="E139" s="1" t="s">
        <v>50</v>
      </c>
      <c r="F139" s="1">
        <v>305</v>
      </c>
      <c r="G139" s="1">
        <v>187</v>
      </c>
      <c r="H139" s="1">
        <v>243</v>
      </c>
      <c r="I139" s="1">
        <v>4575</v>
      </c>
      <c r="J139" s="1">
        <v>3704</v>
      </c>
      <c r="K139" s="1">
        <v>234</v>
      </c>
      <c r="L139" s="1" t="s">
        <v>285</v>
      </c>
      <c r="M139" s="1" t="s">
        <v>55</v>
      </c>
    </row>
    <row r="140" spans="1:13" ht="14.25" customHeight="1" x14ac:dyDescent="0.3">
      <c r="A140" s="1" t="s">
        <v>309</v>
      </c>
      <c r="B140" s="1" t="s">
        <v>27</v>
      </c>
      <c r="C140" s="1" t="s">
        <v>310</v>
      </c>
      <c r="D140" s="1" t="s">
        <v>22</v>
      </c>
      <c r="E140" s="1" t="s">
        <v>23</v>
      </c>
      <c r="F140" s="1">
        <v>2746</v>
      </c>
      <c r="G140" s="1">
        <v>156</v>
      </c>
      <c r="H140" s="1">
        <v>203</v>
      </c>
      <c r="I140" s="1">
        <v>32952</v>
      </c>
      <c r="J140" s="1">
        <v>32147</v>
      </c>
      <c r="K140" s="1">
        <v>147</v>
      </c>
      <c r="L140" s="1" t="s">
        <v>146</v>
      </c>
      <c r="M140" s="1" t="s">
        <v>25</v>
      </c>
    </row>
    <row r="141" spans="1:13" ht="14.25" customHeight="1" x14ac:dyDescent="0.3">
      <c r="A141" s="1" t="s">
        <v>311</v>
      </c>
      <c r="B141" s="1" t="s">
        <v>40</v>
      </c>
      <c r="C141" s="1" t="s">
        <v>312</v>
      </c>
      <c r="D141" s="1" t="s">
        <v>49</v>
      </c>
      <c r="E141" s="1" t="s">
        <v>50</v>
      </c>
      <c r="F141" s="1">
        <v>2291</v>
      </c>
      <c r="G141" s="1">
        <v>78</v>
      </c>
      <c r="H141" s="1">
        <v>485</v>
      </c>
      <c r="I141" s="1">
        <v>18328</v>
      </c>
      <c r="J141" s="1">
        <v>18101</v>
      </c>
      <c r="K141" s="1">
        <v>10</v>
      </c>
      <c r="L141" s="1" t="s">
        <v>77</v>
      </c>
      <c r="M141" s="1" t="s">
        <v>19</v>
      </c>
    </row>
    <row r="142" spans="1:13" ht="14.25" customHeight="1" x14ac:dyDescent="0.3">
      <c r="A142" s="1" t="s">
        <v>313</v>
      </c>
      <c r="B142" s="1" t="s">
        <v>14</v>
      </c>
      <c r="C142" s="1" t="s">
        <v>314</v>
      </c>
      <c r="D142" s="1" t="s">
        <v>49</v>
      </c>
      <c r="E142" s="1" t="s">
        <v>50</v>
      </c>
      <c r="F142" s="1">
        <v>3170</v>
      </c>
      <c r="G142" s="1">
        <v>857</v>
      </c>
      <c r="H142" s="1">
        <v>379</v>
      </c>
      <c r="I142" s="1">
        <v>19020</v>
      </c>
      <c r="J142" s="1">
        <v>18559</v>
      </c>
      <c r="K142" s="1">
        <v>240</v>
      </c>
      <c r="L142" s="1" t="s">
        <v>18</v>
      </c>
      <c r="M142" s="1" t="s">
        <v>38</v>
      </c>
    </row>
    <row r="143" spans="1:13" ht="14.25" customHeight="1" x14ac:dyDescent="0.3">
      <c r="A143" s="1" t="s">
        <v>315</v>
      </c>
      <c r="B143" s="1" t="s">
        <v>27</v>
      </c>
      <c r="C143" s="1" t="s">
        <v>259</v>
      </c>
      <c r="D143" s="1" t="s">
        <v>33</v>
      </c>
      <c r="E143" s="1" t="s">
        <v>34</v>
      </c>
      <c r="F143" s="1">
        <v>2070</v>
      </c>
      <c r="G143" s="1">
        <v>275</v>
      </c>
      <c r="H143" s="1">
        <v>386</v>
      </c>
      <c r="I143" s="1">
        <v>39330</v>
      </c>
      <c r="J143" s="1">
        <v>38627</v>
      </c>
      <c r="K143" s="1">
        <v>114</v>
      </c>
      <c r="L143" s="1" t="s">
        <v>18</v>
      </c>
      <c r="M143" s="1" t="s">
        <v>55</v>
      </c>
    </row>
    <row r="144" spans="1:13" ht="14.25" customHeight="1" x14ac:dyDescent="0.3">
      <c r="A144" s="1" t="s">
        <v>316</v>
      </c>
      <c r="B144" s="1" t="s">
        <v>27</v>
      </c>
      <c r="C144" s="1" t="s">
        <v>270</v>
      </c>
      <c r="D144" s="1" t="s">
        <v>42</v>
      </c>
      <c r="E144" s="1" t="s">
        <v>43</v>
      </c>
      <c r="F144" s="1">
        <v>80</v>
      </c>
      <c r="G144" s="1">
        <v>362</v>
      </c>
      <c r="H144" s="1">
        <v>80</v>
      </c>
      <c r="I144" s="1">
        <v>1040</v>
      </c>
      <c r="J144" s="1">
        <v>349</v>
      </c>
      <c r="K144" s="1">
        <v>117</v>
      </c>
      <c r="L144" s="1" t="s">
        <v>146</v>
      </c>
      <c r="M144" s="1" t="s">
        <v>25</v>
      </c>
    </row>
    <row r="145" spans="1:13" ht="14.25" customHeight="1" x14ac:dyDescent="0.3">
      <c r="A145" s="1" t="s">
        <v>317</v>
      </c>
      <c r="B145" s="1" t="s">
        <v>27</v>
      </c>
      <c r="C145" s="1" t="s">
        <v>197</v>
      </c>
      <c r="D145" s="1" t="s">
        <v>33</v>
      </c>
      <c r="E145" s="1" t="s">
        <v>34</v>
      </c>
      <c r="F145" s="1">
        <v>4929</v>
      </c>
      <c r="G145" s="1">
        <v>749</v>
      </c>
      <c r="H145" s="1">
        <v>452</v>
      </c>
      <c r="I145" s="1">
        <v>93651</v>
      </c>
      <c r="J145" s="1">
        <v>92810</v>
      </c>
      <c r="K145" s="1">
        <v>66</v>
      </c>
      <c r="L145" s="1" t="s">
        <v>214</v>
      </c>
      <c r="M145" s="1" t="s">
        <v>19</v>
      </c>
    </row>
    <row r="146" spans="1:13" ht="14.25" customHeight="1" x14ac:dyDescent="0.3">
      <c r="A146" s="1" t="s">
        <v>318</v>
      </c>
      <c r="B146" s="1" t="s">
        <v>31</v>
      </c>
      <c r="C146" s="1" t="s">
        <v>32</v>
      </c>
      <c r="D146" s="1" t="s">
        <v>42</v>
      </c>
      <c r="E146" s="1" t="s">
        <v>43</v>
      </c>
      <c r="F146" s="1">
        <v>1878</v>
      </c>
      <c r="G146" s="1">
        <v>62</v>
      </c>
      <c r="H146" s="1">
        <v>179</v>
      </c>
      <c r="I146" s="1">
        <v>37560</v>
      </c>
      <c r="J146" s="1">
        <v>36874</v>
      </c>
      <c r="K146" s="1">
        <v>142</v>
      </c>
      <c r="L146" s="1" t="s">
        <v>178</v>
      </c>
      <c r="M146" s="1" t="s">
        <v>19</v>
      </c>
    </row>
    <row r="147" spans="1:13" ht="14.25" customHeight="1" x14ac:dyDescent="0.3">
      <c r="A147" s="1" t="s">
        <v>319</v>
      </c>
      <c r="B147" s="1" t="s">
        <v>27</v>
      </c>
      <c r="C147" s="1" t="s">
        <v>320</v>
      </c>
      <c r="D147" s="1" t="s">
        <v>16</v>
      </c>
      <c r="E147" s="1" t="s">
        <v>17</v>
      </c>
      <c r="F147" s="1">
        <v>3065</v>
      </c>
      <c r="G147" s="1">
        <v>772</v>
      </c>
      <c r="H147" s="1">
        <v>142</v>
      </c>
      <c r="I147" s="1">
        <v>18390</v>
      </c>
      <c r="J147" s="1">
        <v>17875</v>
      </c>
      <c r="K147" s="1">
        <v>200</v>
      </c>
      <c r="L147" s="1" t="s">
        <v>58</v>
      </c>
      <c r="M147" s="1" t="s">
        <v>19</v>
      </c>
    </row>
    <row r="148" spans="1:13" ht="14.25" customHeight="1" x14ac:dyDescent="0.3">
      <c r="A148" s="1" t="s">
        <v>321</v>
      </c>
      <c r="B148" s="1" t="s">
        <v>31</v>
      </c>
      <c r="C148" s="1" t="s">
        <v>164</v>
      </c>
      <c r="D148" s="1" t="s">
        <v>16</v>
      </c>
      <c r="E148" s="1" t="s">
        <v>17</v>
      </c>
      <c r="F148" s="1">
        <v>3256</v>
      </c>
      <c r="G148" s="1">
        <v>459</v>
      </c>
      <c r="H148" s="1">
        <v>266</v>
      </c>
      <c r="I148" s="1">
        <v>26048</v>
      </c>
      <c r="J148" s="1">
        <v>25529</v>
      </c>
      <c r="K148" s="1">
        <v>143</v>
      </c>
      <c r="L148" s="1" t="s">
        <v>82</v>
      </c>
      <c r="M148" s="1" t="s">
        <v>38</v>
      </c>
    </row>
    <row r="149" spans="1:13" ht="14.25" customHeight="1" x14ac:dyDescent="0.3">
      <c r="A149" s="1" t="s">
        <v>322</v>
      </c>
      <c r="B149" s="1" t="s">
        <v>31</v>
      </c>
      <c r="C149" s="1" t="s">
        <v>166</v>
      </c>
      <c r="D149" s="1" t="s">
        <v>69</v>
      </c>
      <c r="E149" s="1" t="s">
        <v>70</v>
      </c>
      <c r="F149" s="1">
        <v>4133</v>
      </c>
      <c r="G149" s="1">
        <v>466</v>
      </c>
      <c r="H149" s="1">
        <v>327</v>
      </c>
      <c r="I149" s="1">
        <v>24798</v>
      </c>
      <c r="J149" s="1">
        <v>24620</v>
      </c>
      <c r="K149" s="1">
        <v>176</v>
      </c>
      <c r="L149" s="1" t="s">
        <v>58</v>
      </c>
      <c r="M149" s="1" t="s">
        <v>25</v>
      </c>
    </row>
    <row r="150" spans="1:13" ht="14.25" customHeight="1" x14ac:dyDescent="0.3">
      <c r="A150" s="1" t="s">
        <v>323</v>
      </c>
      <c r="B150" s="1" t="s">
        <v>14</v>
      </c>
      <c r="C150" s="1" t="s">
        <v>324</v>
      </c>
      <c r="D150" s="1" t="s">
        <v>69</v>
      </c>
      <c r="E150" s="1" t="s">
        <v>70</v>
      </c>
      <c r="F150" s="1">
        <v>1702</v>
      </c>
      <c r="G150" s="1">
        <v>750</v>
      </c>
      <c r="H150" s="1">
        <v>179</v>
      </c>
      <c r="I150" s="1">
        <v>34040</v>
      </c>
      <c r="J150" s="1">
        <v>33174</v>
      </c>
      <c r="K150" s="1">
        <v>76</v>
      </c>
      <c r="L150" s="1" t="s">
        <v>44</v>
      </c>
      <c r="M150" s="1" t="s">
        <v>38</v>
      </c>
    </row>
    <row r="151" spans="1:13" ht="14.25" customHeight="1" x14ac:dyDescent="0.3">
      <c r="A151" s="1" t="s">
        <v>325</v>
      </c>
      <c r="B151" s="1" t="s">
        <v>27</v>
      </c>
      <c r="C151" s="1" t="s">
        <v>326</v>
      </c>
      <c r="D151" s="1" t="s">
        <v>42</v>
      </c>
      <c r="E151" s="1" t="s">
        <v>43</v>
      </c>
      <c r="F151" s="1">
        <v>4295</v>
      </c>
      <c r="G151" s="1">
        <v>853</v>
      </c>
      <c r="H151" s="1">
        <v>325</v>
      </c>
      <c r="I151" s="1">
        <v>85900</v>
      </c>
      <c r="J151" s="1">
        <v>85788</v>
      </c>
      <c r="K151" s="1">
        <v>290</v>
      </c>
      <c r="L151" s="1" t="s">
        <v>209</v>
      </c>
      <c r="M151" s="1" t="s">
        <v>25</v>
      </c>
    </row>
    <row r="152" spans="1:13" ht="14.25" customHeight="1" x14ac:dyDescent="0.3">
      <c r="A152" s="1" t="s">
        <v>327</v>
      </c>
      <c r="B152" s="1" t="s">
        <v>31</v>
      </c>
      <c r="C152" s="1" t="s">
        <v>182</v>
      </c>
      <c r="D152" s="1" t="s">
        <v>49</v>
      </c>
      <c r="E152" s="1" t="s">
        <v>50</v>
      </c>
      <c r="F152" s="1">
        <v>3559</v>
      </c>
      <c r="G152" s="1">
        <v>59</v>
      </c>
      <c r="H152" s="1">
        <v>289</v>
      </c>
      <c r="I152" s="1">
        <v>35590</v>
      </c>
      <c r="J152" s="1">
        <v>35105</v>
      </c>
      <c r="K152" s="1">
        <v>122</v>
      </c>
      <c r="L152" s="1" t="s">
        <v>214</v>
      </c>
      <c r="M152" s="1" t="s">
        <v>38</v>
      </c>
    </row>
    <row r="153" spans="1:13" ht="14.25" customHeight="1" x14ac:dyDescent="0.3">
      <c r="A153" s="1" t="s">
        <v>328</v>
      </c>
      <c r="B153" s="1" t="s">
        <v>40</v>
      </c>
      <c r="C153" s="1" t="s">
        <v>329</v>
      </c>
      <c r="D153" s="1" t="s">
        <v>49</v>
      </c>
      <c r="E153" s="1" t="s">
        <v>50</v>
      </c>
      <c r="F153" s="1">
        <v>4804</v>
      </c>
      <c r="G153" s="1">
        <v>550</v>
      </c>
      <c r="H153" s="1">
        <v>270</v>
      </c>
      <c r="I153" s="1">
        <v>28824</v>
      </c>
      <c r="J153" s="1">
        <v>28370</v>
      </c>
      <c r="K153" s="1">
        <v>47</v>
      </c>
      <c r="L153" s="1" t="s">
        <v>82</v>
      </c>
      <c r="M153" s="1" t="s">
        <v>55</v>
      </c>
    </row>
    <row r="154" spans="1:13" ht="14.25" customHeight="1" x14ac:dyDescent="0.3">
      <c r="A154" s="1" t="s">
        <v>330</v>
      </c>
      <c r="B154" s="1" t="s">
        <v>14</v>
      </c>
      <c r="C154" s="1" t="s">
        <v>331</v>
      </c>
      <c r="D154" s="1" t="s">
        <v>69</v>
      </c>
      <c r="E154" s="1" t="s">
        <v>70</v>
      </c>
      <c r="F154" s="1">
        <v>754</v>
      </c>
      <c r="G154" s="1">
        <v>197</v>
      </c>
      <c r="H154" s="1">
        <v>257</v>
      </c>
      <c r="I154" s="1">
        <v>6786</v>
      </c>
      <c r="J154" s="1">
        <v>6221</v>
      </c>
      <c r="K154" s="1">
        <v>212</v>
      </c>
      <c r="L154" s="1" t="s">
        <v>178</v>
      </c>
      <c r="M154" s="1" t="s">
        <v>38</v>
      </c>
    </row>
    <row r="155" spans="1:13" ht="14.25" customHeight="1" x14ac:dyDescent="0.3">
      <c r="A155" s="1" t="s">
        <v>332</v>
      </c>
      <c r="B155" s="1" t="s">
        <v>31</v>
      </c>
      <c r="C155" s="1" t="s">
        <v>205</v>
      </c>
      <c r="D155" s="1" t="s">
        <v>42</v>
      </c>
      <c r="E155" s="1" t="s">
        <v>43</v>
      </c>
      <c r="F155" s="1">
        <v>985</v>
      </c>
      <c r="G155" s="1">
        <v>932</v>
      </c>
      <c r="H155" s="1">
        <v>287</v>
      </c>
      <c r="I155" s="1">
        <v>6895</v>
      </c>
      <c r="J155" s="1">
        <v>6757</v>
      </c>
      <c r="K155" s="1">
        <v>64</v>
      </c>
      <c r="L155" s="1" t="s">
        <v>66</v>
      </c>
      <c r="M155" s="1" t="s">
        <v>25</v>
      </c>
    </row>
    <row r="156" spans="1:13" ht="14.25" customHeight="1" x14ac:dyDescent="0.3">
      <c r="A156" s="1" t="s">
        <v>333</v>
      </c>
      <c r="B156" s="1" t="s">
        <v>27</v>
      </c>
      <c r="C156" s="1" t="s">
        <v>334</v>
      </c>
      <c r="D156" s="1" t="s">
        <v>49</v>
      </c>
      <c r="E156" s="1" t="s">
        <v>50</v>
      </c>
      <c r="F156" s="1">
        <v>2283</v>
      </c>
      <c r="G156" s="1">
        <v>210</v>
      </c>
      <c r="H156" s="1">
        <v>130</v>
      </c>
      <c r="I156" s="1">
        <v>22830</v>
      </c>
      <c r="J156" s="1">
        <v>22617</v>
      </c>
      <c r="K156" s="1">
        <v>143</v>
      </c>
      <c r="L156" s="1" t="s">
        <v>146</v>
      </c>
      <c r="M156" s="1" t="s">
        <v>38</v>
      </c>
    </row>
    <row r="157" spans="1:13" ht="14.25" customHeight="1" x14ac:dyDescent="0.3">
      <c r="A157" s="1" t="s">
        <v>335</v>
      </c>
      <c r="B157" s="1" t="s">
        <v>40</v>
      </c>
      <c r="C157" s="1" t="s">
        <v>336</v>
      </c>
      <c r="D157" s="1" t="s">
        <v>42</v>
      </c>
      <c r="E157" s="1" t="s">
        <v>43</v>
      </c>
      <c r="F157" s="1">
        <v>3352</v>
      </c>
      <c r="G157" s="1">
        <v>941</v>
      </c>
      <c r="H157" s="1">
        <v>482</v>
      </c>
      <c r="I157" s="1">
        <v>43576</v>
      </c>
      <c r="J157" s="1">
        <v>43338</v>
      </c>
      <c r="K157" s="1">
        <v>240</v>
      </c>
      <c r="L157" s="1" t="s">
        <v>44</v>
      </c>
      <c r="M157" s="1" t="s">
        <v>38</v>
      </c>
    </row>
    <row r="158" spans="1:13" ht="14.25" customHeight="1" x14ac:dyDescent="0.3">
      <c r="A158" s="1" t="s">
        <v>337</v>
      </c>
      <c r="B158" s="1" t="s">
        <v>27</v>
      </c>
      <c r="C158" s="1" t="s">
        <v>338</v>
      </c>
      <c r="D158" s="1" t="s">
        <v>33</v>
      </c>
      <c r="E158" s="1" t="s">
        <v>34</v>
      </c>
      <c r="F158" s="1">
        <v>4775</v>
      </c>
      <c r="G158" s="1">
        <v>173</v>
      </c>
      <c r="H158" s="1">
        <v>206</v>
      </c>
      <c r="I158" s="1">
        <v>47750</v>
      </c>
      <c r="J158" s="1">
        <v>47544</v>
      </c>
      <c r="K158" s="1">
        <v>187</v>
      </c>
      <c r="L158" s="1" t="s">
        <v>87</v>
      </c>
      <c r="M158" s="1" t="s">
        <v>55</v>
      </c>
    </row>
    <row r="159" spans="1:13" ht="14.25" customHeight="1" x14ac:dyDescent="0.3">
      <c r="A159" s="1" t="s">
        <v>339</v>
      </c>
      <c r="B159" s="1" t="s">
        <v>31</v>
      </c>
      <c r="C159" s="1" t="s">
        <v>340</v>
      </c>
      <c r="D159" s="1" t="s">
        <v>33</v>
      </c>
      <c r="E159" s="1" t="s">
        <v>34</v>
      </c>
      <c r="F159" s="1">
        <v>1762</v>
      </c>
      <c r="G159" s="1">
        <v>405</v>
      </c>
      <c r="H159" s="1">
        <v>423</v>
      </c>
      <c r="I159" s="1">
        <v>22906</v>
      </c>
      <c r="J159" s="1">
        <v>21925</v>
      </c>
      <c r="K159" s="1">
        <v>25</v>
      </c>
      <c r="L159" s="1" t="s">
        <v>77</v>
      </c>
      <c r="M159" s="1" t="s">
        <v>25</v>
      </c>
    </row>
    <row r="160" spans="1:13" ht="14.25" customHeight="1" x14ac:dyDescent="0.3">
      <c r="A160" s="1" t="s">
        <v>341</v>
      </c>
      <c r="B160" s="1" t="s">
        <v>40</v>
      </c>
      <c r="C160" s="1" t="s">
        <v>126</v>
      </c>
      <c r="D160" s="1" t="s">
        <v>33</v>
      </c>
      <c r="E160" s="1" t="s">
        <v>34</v>
      </c>
      <c r="F160" s="1">
        <v>2120</v>
      </c>
      <c r="G160" s="1">
        <v>158</v>
      </c>
      <c r="H160" s="1">
        <v>488</v>
      </c>
      <c r="I160" s="1">
        <v>12720</v>
      </c>
      <c r="J160" s="1">
        <v>12085</v>
      </c>
      <c r="K160" s="1">
        <v>17</v>
      </c>
      <c r="L160" s="1" t="s">
        <v>87</v>
      </c>
      <c r="M160" s="1" t="s">
        <v>25</v>
      </c>
    </row>
    <row r="161" spans="1:13" ht="14.25" customHeight="1" x14ac:dyDescent="0.3">
      <c r="A161" s="1" t="s">
        <v>342</v>
      </c>
      <c r="B161" s="1" t="s">
        <v>14</v>
      </c>
      <c r="C161" s="1" t="s">
        <v>343</v>
      </c>
      <c r="D161" s="1" t="s">
        <v>69</v>
      </c>
      <c r="E161" s="1" t="s">
        <v>70</v>
      </c>
      <c r="F161" s="1">
        <v>1082</v>
      </c>
      <c r="G161" s="1">
        <v>209</v>
      </c>
      <c r="H161" s="1">
        <v>484</v>
      </c>
      <c r="I161" s="1">
        <v>19476</v>
      </c>
      <c r="J161" s="1">
        <v>18654</v>
      </c>
      <c r="K161" s="1">
        <v>20</v>
      </c>
      <c r="L161" s="1" t="s">
        <v>58</v>
      </c>
      <c r="M161" s="1" t="s">
        <v>55</v>
      </c>
    </row>
    <row r="162" spans="1:13" ht="14.25" customHeight="1" x14ac:dyDescent="0.3">
      <c r="A162" s="1" t="s">
        <v>344</v>
      </c>
      <c r="B162" s="1" t="s">
        <v>14</v>
      </c>
      <c r="C162" s="1" t="s">
        <v>345</v>
      </c>
      <c r="D162" s="1" t="s">
        <v>22</v>
      </c>
      <c r="E162" s="1" t="s">
        <v>23</v>
      </c>
      <c r="F162" s="1">
        <v>4671</v>
      </c>
      <c r="G162" s="1">
        <v>876</v>
      </c>
      <c r="H162" s="1">
        <v>366</v>
      </c>
      <c r="I162" s="1">
        <v>51381</v>
      </c>
      <c r="J162" s="1">
        <v>50565</v>
      </c>
      <c r="K162" s="1">
        <v>245</v>
      </c>
      <c r="L162" s="1" t="s">
        <v>18</v>
      </c>
      <c r="M162" s="1" t="s">
        <v>25</v>
      </c>
    </row>
    <row r="163" spans="1:13" ht="14.25" customHeight="1" x14ac:dyDescent="0.3">
      <c r="A163" s="1" t="s">
        <v>346</v>
      </c>
      <c r="B163" s="1" t="s">
        <v>40</v>
      </c>
      <c r="C163" s="1" t="s">
        <v>347</v>
      </c>
      <c r="D163" s="1" t="s">
        <v>33</v>
      </c>
      <c r="E163" s="1" t="s">
        <v>34</v>
      </c>
      <c r="F163" s="1">
        <v>3430</v>
      </c>
      <c r="G163" s="1">
        <v>566</v>
      </c>
      <c r="H163" s="1">
        <v>164</v>
      </c>
      <c r="I163" s="1">
        <v>48020</v>
      </c>
      <c r="J163" s="1">
        <v>47305</v>
      </c>
      <c r="K163" s="1">
        <v>120</v>
      </c>
      <c r="L163" s="1" t="s">
        <v>44</v>
      </c>
      <c r="M163" s="1" t="s">
        <v>25</v>
      </c>
    </row>
    <row r="164" spans="1:13" ht="14.25" customHeight="1" x14ac:dyDescent="0.3">
      <c r="A164" s="1" t="s">
        <v>348</v>
      </c>
      <c r="B164" s="1" t="s">
        <v>31</v>
      </c>
      <c r="C164" s="1" t="s">
        <v>349</v>
      </c>
      <c r="D164" s="1" t="s">
        <v>49</v>
      </c>
      <c r="E164" s="1" t="s">
        <v>50</v>
      </c>
      <c r="F164" s="1">
        <v>4501</v>
      </c>
      <c r="G164" s="1">
        <v>375</v>
      </c>
      <c r="H164" s="1">
        <v>323</v>
      </c>
      <c r="I164" s="1">
        <v>22505</v>
      </c>
      <c r="J164" s="1">
        <v>21836</v>
      </c>
      <c r="K164" s="1">
        <v>132</v>
      </c>
      <c r="L164" s="1" t="s">
        <v>24</v>
      </c>
      <c r="M164" s="1" t="s">
        <v>55</v>
      </c>
    </row>
    <row r="165" spans="1:13" ht="14.25" customHeight="1" x14ac:dyDescent="0.3">
      <c r="A165" s="1" t="s">
        <v>350</v>
      </c>
      <c r="B165" s="1" t="s">
        <v>27</v>
      </c>
      <c r="C165" s="1" t="s">
        <v>89</v>
      </c>
      <c r="D165" s="1" t="s">
        <v>22</v>
      </c>
      <c r="E165" s="1" t="s">
        <v>23</v>
      </c>
      <c r="F165" s="1">
        <v>4934</v>
      </c>
      <c r="G165" s="1">
        <v>971</v>
      </c>
      <c r="H165" s="1">
        <v>156</v>
      </c>
      <c r="I165" s="1">
        <v>39472</v>
      </c>
      <c r="J165" s="1">
        <v>39025</v>
      </c>
      <c r="K165" s="1">
        <v>169</v>
      </c>
      <c r="L165" s="1" t="s">
        <v>264</v>
      </c>
      <c r="M165" s="1" t="s">
        <v>25</v>
      </c>
    </row>
    <row r="166" spans="1:13" ht="14.25" customHeight="1" x14ac:dyDescent="0.3">
      <c r="A166" s="1" t="s">
        <v>351</v>
      </c>
      <c r="B166" s="1" t="s">
        <v>14</v>
      </c>
      <c r="C166" s="1" t="s">
        <v>232</v>
      </c>
      <c r="D166" s="1" t="s">
        <v>22</v>
      </c>
      <c r="E166" s="1" t="s">
        <v>23</v>
      </c>
      <c r="F166" s="1">
        <v>3239</v>
      </c>
      <c r="G166" s="1">
        <v>43</v>
      </c>
      <c r="H166" s="1">
        <v>211</v>
      </c>
      <c r="I166" s="1">
        <v>22673</v>
      </c>
      <c r="J166" s="1">
        <v>22171</v>
      </c>
      <c r="K166" s="1">
        <v>230</v>
      </c>
      <c r="L166" s="1" t="s">
        <v>214</v>
      </c>
      <c r="M166" s="1" t="s">
        <v>25</v>
      </c>
    </row>
    <row r="167" spans="1:13" ht="14.25" customHeight="1" x14ac:dyDescent="0.3">
      <c r="A167" s="1" t="s">
        <v>352</v>
      </c>
      <c r="B167" s="1" t="s">
        <v>14</v>
      </c>
      <c r="C167" s="1" t="s">
        <v>65</v>
      </c>
      <c r="D167" s="1" t="s">
        <v>16</v>
      </c>
      <c r="E167" s="1" t="s">
        <v>17</v>
      </c>
      <c r="F167" s="1">
        <v>1076</v>
      </c>
      <c r="G167" s="1">
        <v>313</v>
      </c>
      <c r="H167" s="1">
        <v>306</v>
      </c>
      <c r="I167" s="1">
        <v>11836</v>
      </c>
      <c r="J167" s="1">
        <v>11596</v>
      </c>
      <c r="K167" s="1">
        <v>104</v>
      </c>
      <c r="L167" s="1" t="s">
        <v>77</v>
      </c>
      <c r="M167" s="1" t="s">
        <v>25</v>
      </c>
    </row>
    <row r="168" spans="1:13" ht="14.25" customHeight="1" x14ac:dyDescent="0.3">
      <c r="A168" s="1" t="s">
        <v>353</v>
      </c>
      <c r="B168" s="1" t="s">
        <v>31</v>
      </c>
      <c r="C168" s="1" t="s">
        <v>304</v>
      </c>
      <c r="D168" s="1" t="s">
        <v>22</v>
      </c>
      <c r="E168" s="1" t="s">
        <v>23</v>
      </c>
      <c r="F168" s="1">
        <v>4771</v>
      </c>
      <c r="G168" s="1">
        <v>818</v>
      </c>
      <c r="H168" s="1">
        <v>56</v>
      </c>
      <c r="I168" s="1">
        <v>57252</v>
      </c>
      <c r="J168" s="1">
        <v>56378</v>
      </c>
      <c r="K168" s="1">
        <v>150</v>
      </c>
      <c r="L168" s="1" t="s">
        <v>18</v>
      </c>
      <c r="M168" s="1" t="s">
        <v>25</v>
      </c>
    </row>
    <row r="169" spans="1:13" ht="14.25" customHeight="1" x14ac:dyDescent="0.3">
      <c r="A169" s="1" t="s">
        <v>354</v>
      </c>
      <c r="B169" s="1" t="s">
        <v>40</v>
      </c>
      <c r="C169" s="1" t="s">
        <v>355</v>
      </c>
      <c r="D169" s="1" t="s">
        <v>22</v>
      </c>
      <c r="E169" s="1" t="s">
        <v>23</v>
      </c>
      <c r="F169" s="1">
        <v>2418</v>
      </c>
      <c r="G169" s="1">
        <v>754</v>
      </c>
      <c r="H169" s="1">
        <v>54</v>
      </c>
      <c r="I169" s="1">
        <v>43524</v>
      </c>
      <c r="J169" s="1">
        <v>42743</v>
      </c>
      <c r="K169" s="1">
        <v>182</v>
      </c>
      <c r="L169" s="1" t="s">
        <v>285</v>
      </c>
      <c r="M169" s="1" t="s">
        <v>55</v>
      </c>
    </row>
    <row r="170" spans="1:13" ht="14.25" customHeight="1" x14ac:dyDescent="0.3">
      <c r="A170" s="1" t="s">
        <v>356</v>
      </c>
      <c r="B170" s="1" t="s">
        <v>27</v>
      </c>
      <c r="C170" s="1" t="s">
        <v>357</v>
      </c>
      <c r="D170" s="1" t="s">
        <v>69</v>
      </c>
      <c r="E170" s="1" t="s">
        <v>70</v>
      </c>
      <c r="F170" s="1">
        <v>3809</v>
      </c>
      <c r="G170" s="1">
        <v>273</v>
      </c>
      <c r="H170" s="1">
        <v>200</v>
      </c>
      <c r="I170" s="1">
        <v>34281</v>
      </c>
      <c r="J170" s="1">
        <v>33534</v>
      </c>
      <c r="K170" s="1">
        <v>83</v>
      </c>
      <c r="L170" s="1" t="s">
        <v>44</v>
      </c>
      <c r="M170" s="1" t="s">
        <v>38</v>
      </c>
    </row>
    <row r="171" spans="1:13" ht="14.25" customHeight="1" x14ac:dyDescent="0.3">
      <c r="A171" s="1" t="s">
        <v>358</v>
      </c>
      <c r="B171" s="1" t="s">
        <v>14</v>
      </c>
      <c r="C171" s="1" t="s">
        <v>359</v>
      </c>
      <c r="D171" s="1" t="s">
        <v>22</v>
      </c>
      <c r="E171" s="1" t="s">
        <v>23</v>
      </c>
      <c r="F171" s="1">
        <v>3577</v>
      </c>
      <c r="G171" s="1">
        <v>596</v>
      </c>
      <c r="H171" s="1">
        <v>493</v>
      </c>
      <c r="I171" s="1">
        <v>67963</v>
      </c>
      <c r="J171" s="1">
        <v>67839</v>
      </c>
      <c r="K171" s="1">
        <v>53</v>
      </c>
      <c r="L171" s="1" t="s">
        <v>87</v>
      </c>
      <c r="M171" s="1" t="s">
        <v>55</v>
      </c>
    </row>
    <row r="172" spans="1:13" ht="14.25" customHeight="1" x14ac:dyDescent="0.3">
      <c r="A172" s="1" t="s">
        <v>360</v>
      </c>
      <c r="B172" s="1" t="s">
        <v>27</v>
      </c>
      <c r="C172" s="1" t="s">
        <v>361</v>
      </c>
      <c r="D172" s="1" t="s">
        <v>69</v>
      </c>
      <c r="E172" s="1" t="s">
        <v>70</v>
      </c>
      <c r="F172" s="1">
        <v>1018</v>
      </c>
      <c r="G172" s="1">
        <v>447</v>
      </c>
      <c r="H172" s="1">
        <v>332</v>
      </c>
      <c r="I172" s="1">
        <v>18324</v>
      </c>
      <c r="J172" s="1">
        <v>18164</v>
      </c>
      <c r="K172" s="1">
        <v>38</v>
      </c>
      <c r="L172" s="1" t="s">
        <v>66</v>
      </c>
      <c r="M172" s="1" t="s">
        <v>55</v>
      </c>
    </row>
    <row r="173" spans="1:13" ht="14.25" customHeight="1" x14ac:dyDescent="0.3">
      <c r="A173" s="1" t="s">
        <v>362</v>
      </c>
      <c r="B173" s="1" t="s">
        <v>40</v>
      </c>
      <c r="C173" s="1" t="s">
        <v>363</v>
      </c>
      <c r="D173" s="1" t="s">
        <v>42</v>
      </c>
      <c r="E173" s="1" t="s">
        <v>43</v>
      </c>
      <c r="F173" s="1">
        <v>3073</v>
      </c>
      <c r="G173" s="1">
        <v>553</v>
      </c>
      <c r="H173" s="1">
        <v>174</v>
      </c>
      <c r="I173" s="1">
        <v>52241</v>
      </c>
      <c r="J173" s="1">
        <v>51605</v>
      </c>
      <c r="K173" s="1">
        <v>246</v>
      </c>
      <c r="L173" s="1" t="s">
        <v>146</v>
      </c>
      <c r="M173" s="1" t="s">
        <v>55</v>
      </c>
    </row>
    <row r="174" spans="1:13" ht="14.25" customHeight="1" x14ac:dyDescent="0.3">
      <c r="A174" s="1" t="s">
        <v>364</v>
      </c>
      <c r="B174" s="1" t="s">
        <v>14</v>
      </c>
      <c r="C174" s="1" t="s">
        <v>365</v>
      </c>
      <c r="D174" s="1" t="s">
        <v>69</v>
      </c>
      <c r="E174" s="1" t="s">
        <v>70</v>
      </c>
      <c r="F174" s="1">
        <v>1330</v>
      </c>
      <c r="G174" s="1">
        <v>925</v>
      </c>
      <c r="H174" s="1">
        <v>35</v>
      </c>
      <c r="I174" s="1">
        <v>15960</v>
      </c>
      <c r="J174" s="1">
        <v>15379</v>
      </c>
      <c r="K174" s="1">
        <v>229</v>
      </c>
      <c r="L174" s="1" t="s">
        <v>178</v>
      </c>
      <c r="M174" s="1" t="s">
        <v>55</v>
      </c>
    </row>
    <row r="175" spans="1:13" ht="14.25" customHeight="1" x14ac:dyDescent="0.3">
      <c r="A175" s="1" t="s">
        <v>366</v>
      </c>
      <c r="B175" s="1" t="s">
        <v>40</v>
      </c>
      <c r="C175" s="1" t="s">
        <v>168</v>
      </c>
      <c r="D175" s="1" t="s">
        <v>22</v>
      </c>
      <c r="E175" s="1" t="s">
        <v>23</v>
      </c>
      <c r="F175" s="1">
        <v>3828</v>
      </c>
      <c r="G175" s="1">
        <v>148</v>
      </c>
      <c r="H175" s="1">
        <v>253</v>
      </c>
      <c r="I175" s="1">
        <v>30624</v>
      </c>
      <c r="J175" s="1">
        <v>30229</v>
      </c>
      <c r="K175" s="1">
        <v>235</v>
      </c>
      <c r="L175" s="1" t="s">
        <v>82</v>
      </c>
      <c r="M175" s="1" t="s">
        <v>55</v>
      </c>
    </row>
    <row r="176" spans="1:13" ht="14.25" customHeight="1" x14ac:dyDescent="0.3">
      <c r="A176" s="1" t="s">
        <v>367</v>
      </c>
      <c r="B176" s="1" t="s">
        <v>31</v>
      </c>
      <c r="C176" s="1" t="s">
        <v>368</v>
      </c>
      <c r="D176" s="1" t="s">
        <v>16</v>
      </c>
      <c r="E176" s="1" t="s">
        <v>17</v>
      </c>
      <c r="F176" s="1">
        <v>142</v>
      </c>
      <c r="G176" s="1">
        <v>784</v>
      </c>
      <c r="H176" s="1">
        <v>183</v>
      </c>
      <c r="I176" s="1">
        <v>1704</v>
      </c>
      <c r="J176" s="1">
        <v>995</v>
      </c>
      <c r="K176" s="1">
        <v>154</v>
      </c>
      <c r="L176" s="1" t="s">
        <v>18</v>
      </c>
      <c r="M176" s="1" t="s">
        <v>19</v>
      </c>
    </row>
    <row r="177" spans="1:13" ht="14.25" customHeight="1" x14ac:dyDescent="0.3">
      <c r="A177" s="1" t="s">
        <v>369</v>
      </c>
      <c r="B177" s="1" t="s">
        <v>40</v>
      </c>
      <c r="C177" s="1" t="s">
        <v>370</v>
      </c>
      <c r="D177" s="1" t="s">
        <v>69</v>
      </c>
      <c r="E177" s="1" t="s">
        <v>70</v>
      </c>
      <c r="F177" s="1">
        <v>3798</v>
      </c>
      <c r="G177" s="1">
        <v>31</v>
      </c>
      <c r="H177" s="1">
        <v>279</v>
      </c>
      <c r="I177" s="1">
        <v>75960</v>
      </c>
      <c r="J177" s="1">
        <v>75813</v>
      </c>
      <c r="K177" s="1">
        <v>266</v>
      </c>
      <c r="L177" s="1" t="s">
        <v>24</v>
      </c>
      <c r="M177" s="1" t="s">
        <v>25</v>
      </c>
    </row>
    <row r="178" spans="1:13" ht="14.25" customHeight="1" x14ac:dyDescent="0.3">
      <c r="A178" s="1" t="s">
        <v>371</v>
      </c>
      <c r="B178" s="1" t="s">
        <v>31</v>
      </c>
      <c r="C178" s="1" t="s">
        <v>372</v>
      </c>
      <c r="D178" s="1" t="s">
        <v>42</v>
      </c>
      <c r="E178" s="1" t="s">
        <v>43</v>
      </c>
      <c r="F178" s="1">
        <v>3099</v>
      </c>
      <c r="G178" s="1">
        <v>694</v>
      </c>
      <c r="H178" s="1">
        <v>171</v>
      </c>
      <c r="I178" s="1">
        <v>43386</v>
      </c>
      <c r="J178" s="1">
        <v>42921</v>
      </c>
      <c r="K178" s="1">
        <v>52</v>
      </c>
      <c r="L178" s="1" t="s">
        <v>77</v>
      </c>
      <c r="M178" s="1" t="s">
        <v>55</v>
      </c>
    </row>
    <row r="179" spans="1:13" ht="14.25" customHeight="1" x14ac:dyDescent="0.3">
      <c r="A179" s="1" t="s">
        <v>373</v>
      </c>
      <c r="B179" s="1" t="s">
        <v>31</v>
      </c>
      <c r="C179" s="1" t="s">
        <v>201</v>
      </c>
      <c r="D179" s="1" t="s">
        <v>69</v>
      </c>
      <c r="E179" s="1" t="s">
        <v>70</v>
      </c>
      <c r="F179" s="1">
        <v>129</v>
      </c>
      <c r="G179" s="1">
        <v>643</v>
      </c>
      <c r="H179" s="1">
        <v>136</v>
      </c>
      <c r="I179" s="1">
        <v>1290</v>
      </c>
      <c r="J179" s="1">
        <v>839</v>
      </c>
      <c r="K179" s="1">
        <v>238</v>
      </c>
      <c r="L179" s="1" t="s">
        <v>162</v>
      </c>
      <c r="M179" s="1" t="s">
        <v>55</v>
      </c>
    </row>
    <row r="180" spans="1:13" ht="14.25" customHeight="1" x14ac:dyDescent="0.3">
      <c r="A180" s="1" t="s">
        <v>374</v>
      </c>
      <c r="B180" s="1" t="s">
        <v>40</v>
      </c>
      <c r="C180" s="1" t="s">
        <v>312</v>
      </c>
      <c r="D180" s="1" t="s">
        <v>42</v>
      </c>
      <c r="E180" s="1" t="s">
        <v>43</v>
      </c>
      <c r="F180" s="1">
        <v>3796</v>
      </c>
      <c r="G180" s="1">
        <v>667</v>
      </c>
      <c r="H180" s="1">
        <v>395</v>
      </c>
      <c r="I180" s="1">
        <v>64532</v>
      </c>
      <c r="J180" s="1">
        <v>63550</v>
      </c>
      <c r="K180" s="1">
        <v>292</v>
      </c>
      <c r="L180" s="1" t="s">
        <v>58</v>
      </c>
      <c r="M180" s="1" t="s">
        <v>19</v>
      </c>
    </row>
    <row r="181" spans="1:13" ht="14.25" customHeight="1" x14ac:dyDescent="0.3">
      <c r="A181" s="1" t="s">
        <v>375</v>
      </c>
      <c r="B181" s="1" t="s">
        <v>27</v>
      </c>
      <c r="C181" s="1" t="s">
        <v>357</v>
      </c>
      <c r="D181" s="1" t="s">
        <v>22</v>
      </c>
      <c r="E181" s="1" t="s">
        <v>23</v>
      </c>
      <c r="F181" s="1">
        <v>3711</v>
      </c>
      <c r="G181" s="1">
        <v>352</v>
      </c>
      <c r="H181" s="1">
        <v>290</v>
      </c>
      <c r="I181" s="1">
        <v>48243</v>
      </c>
      <c r="J181" s="1">
        <v>47579</v>
      </c>
      <c r="K181" s="1">
        <v>11</v>
      </c>
      <c r="L181" s="1" t="s">
        <v>162</v>
      </c>
      <c r="M181" s="1" t="s">
        <v>55</v>
      </c>
    </row>
    <row r="182" spans="1:13" ht="14.25" customHeight="1" x14ac:dyDescent="0.3">
      <c r="A182" s="1" t="s">
        <v>376</v>
      </c>
      <c r="B182" s="1" t="s">
        <v>27</v>
      </c>
      <c r="C182" s="1" t="s">
        <v>377</v>
      </c>
      <c r="D182" s="1" t="s">
        <v>49</v>
      </c>
      <c r="E182" s="1" t="s">
        <v>50</v>
      </c>
      <c r="F182" s="1">
        <v>606</v>
      </c>
      <c r="G182" s="1">
        <v>789</v>
      </c>
      <c r="H182" s="1">
        <v>470</v>
      </c>
      <c r="I182" s="1">
        <v>7878</v>
      </c>
      <c r="J182" s="1">
        <v>7389</v>
      </c>
      <c r="K182" s="1">
        <v>239</v>
      </c>
      <c r="L182" s="1" t="s">
        <v>18</v>
      </c>
      <c r="M182" s="1" t="s">
        <v>25</v>
      </c>
    </row>
    <row r="183" spans="1:13" ht="14.25" customHeight="1" x14ac:dyDescent="0.3">
      <c r="A183" s="1" t="s">
        <v>378</v>
      </c>
      <c r="B183" s="1" t="s">
        <v>40</v>
      </c>
      <c r="C183" s="1" t="s">
        <v>111</v>
      </c>
      <c r="D183" s="1" t="s">
        <v>49</v>
      </c>
      <c r="E183" s="1" t="s">
        <v>50</v>
      </c>
      <c r="F183" s="1">
        <v>4689</v>
      </c>
      <c r="G183" s="1">
        <v>134</v>
      </c>
      <c r="H183" s="1">
        <v>403</v>
      </c>
      <c r="I183" s="1">
        <v>51579</v>
      </c>
      <c r="J183" s="1">
        <v>50924</v>
      </c>
      <c r="K183" s="1">
        <v>173</v>
      </c>
      <c r="L183" s="1" t="s">
        <v>77</v>
      </c>
      <c r="M183" s="1" t="s">
        <v>19</v>
      </c>
    </row>
    <row r="184" spans="1:13" ht="14.25" customHeight="1" x14ac:dyDescent="0.3">
      <c r="A184" s="1" t="s">
        <v>379</v>
      </c>
      <c r="B184" s="1" t="s">
        <v>31</v>
      </c>
      <c r="C184" s="1" t="s">
        <v>380</v>
      </c>
      <c r="D184" s="1" t="s">
        <v>33</v>
      </c>
      <c r="E184" s="1" t="s">
        <v>34</v>
      </c>
      <c r="F184" s="1">
        <v>360</v>
      </c>
      <c r="G184" s="1">
        <v>590</v>
      </c>
      <c r="H184" s="1">
        <v>393</v>
      </c>
      <c r="I184" s="1">
        <v>4680</v>
      </c>
      <c r="J184" s="1">
        <v>4322</v>
      </c>
      <c r="K184" s="1">
        <v>208</v>
      </c>
      <c r="L184" s="1" t="s">
        <v>162</v>
      </c>
      <c r="M184" s="1" t="s">
        <v>25</v>
      </c>
    </row>
    <row r="185" spans="1:13" ht="14.25" customHeight="1" x14ac:dyDescent="0.3">
      <c r="A185" s="1" t="s">
        <v>381</v>
      </c>
      <c r="B185" s="1" t="s">
        <v>14</v>
      </c>
      <c r="C185" s="1" t="s">
        <v>382</v>
      </c>
      <c r="D185" s="1" t="s">
        <v>49</v>
      </c>
      <c r="E185" s="1" t="s">
        <v>50</v>
      </c>
      <c r="F185" s="1">
        <v>3215</v>
      </c>
      <c r="G185" s="1">
        <v>960</v>
      </c>
      <c r="H185" s="1">
        <v>202</v>
      </c>
      <c r="I185" s="1">
        <v>32150</v>
      </c>
      <c r="J185" s="1">
        <v>31404</v>
      </c>
      <c r="K185" s="1">
        <v>251</v>
      </c>
      <c r="L185" s="1" t="s">
        <v>58</v>
      </c>
      <c r="M185" s="1" t="s">
        <v>38</v>
      </c>
    </row>
    <row r="186" spans="1:13" ht="14.25" customHeight="1" x14ac:dyDescent="0.3">
      <c r="A186" s="1" t="s">
        <v>383</v>
      </c>
      <c r="B186" s="1" t="s">
        <v>31</v>
      </c>
      <c r="C186" s="1" t="s">
        <v>384</v>
      </c>
      <c r="D186" s="1" t="s">
        <v>42</v>
      </c>
      <c r="E186" s="1" t="s">
        <v>43</v>
      </c>
      <c r="F186" s="1">
        <v>4523</v>
      </c>
      <c r="G186" s="1">
        <v>61</v>
      </c>
      <c r="H186" s="1">
        <v>157</v>
      </c>
      <c r="I186" s="1">
        <v>49753</v>
      </c>
      <c r="J186" s="1">
        <v>49329</v>
      </c>
      <c r="K186" s="1">
        <v>71</v>
      </c>
      <c r="L186" s="1" t="s">
        <v>102</v>
      </c>
      <c r="M186" s="1" t="s">
        <v>55</v>
      </c>
    </row>
    <row r="187" spans="1:13" ht="14.25" customHeight="1" x14ac:dyDescent="0.3">
      <c r="A187" s="1" t="s">
        <v>385</v>
      </c>
      <c r="B187" s="1" t="s">
        <v>40</v>
      </c>
      <c r="C187" s="1" t="s">
        <v>343</v>
      </c>
      <c r="D187" s="1" t="s">
        <v>42</v>
      </c>
      <c r="E187" s="1" t="s">
        <v>43</v>
      </c>
      <c r="F187" s="1">
        <v>4292</v>
      </c>
      <c r="G187" s="1">
        <v>51</v>
      </c>
      <c r="H187" s="1">
        <v>392</v>
      </c>
      <c r="I187" s="1">
        <v>55796</v>
      </c>
      <c r="J187" s="1">
        <v>54826</v>
      </c>
      <c r="K187" s="1">
        <v>264</v>
      </c>
      <c r="L187" s="1" t="s">
        <v>214</v>
      </c>
      <c r="M187" s="1" t="s">
        <v>19</v>
      </c>
    </row>
    <row r="188" spans="1:13" ht="14.25" customHeight="1" x14ac:dyDescent="0.3">
      <c r="A188" s="1" t="s">
        <v>386</v>
      </c>
      <c r="B188" s="1" t="s">
        <v>14</v>
      </c>
      <c r="C188" s="1" t="s">
        <v>387</v>
      </c>
      <c r="D188" s="1" t="s">
        <v>16</v>
      </c>
      <c r="E188" s="1" t="s">
        <v>17</v>
      </c>
      <c r="F188" s="1">
        <v>1644</v>
      </c>
      <c r="G188" s="1">
        <v>546</v>
      </c>
      <c r="H188" s="1">
        <v>150</v>
      </c>
      <c r="I188" s="1">
        <v>27948</v>
      </c>
      <c r="J188" s="1">
        <v>27184</v>
      </c>
      <c r="K188" s="1">
        <v>300</v>
      </c>
      <c r="L188" s="1" t="s">
        <v>102</v>
      </c>
      <c r="M188" s="1" t="s">
        <v>19</v>
      </c>
    </row>
    <row r="189" spans="1:13" ht="14.25" customHeight="1" x14ac:dyDescent="0.3">
      <c r="A189" s="1" t="s">
        <v>388</v>
      </c>
      <c r="B189" s="1" t="s">
        <v>27</v>
      </c>
      <c r="C189" s="1" t="s">
        <v>221</v>
      </c>
      <c r="D189" s="1" t="s">
        <v>16</v>
      </c>
      <c r="E189" s="1" t="s">
        <v>17</v>
      </c>
      <c r="F189" s="1">
        <v>2728</v>
      </c>
      <c r="G189" s="1">
        <v>533</v>
      </c>
      <c r="H189" s="1">
        <v>215</v>
      </c>
      <c r="I189" s="1">
        <v>40920</v>
      </c>
      <c r="J189" s="1">
        <v>40816</v>
      </c>
      <c r="K189" s="1">
        <v>137</v>
      </c>
      <c r="L189" s="1" t="s">
        <v>18</v>
      </c>
      <c r="M189" s="1" t="s">
        <v>25</v>
      </c>
    </row>
    <row r="190" spans="1:13" ht="14.25" customHeight="1" x14ac:dyDescent="0.3">
      <c r="A190" s="1" t="s">
        <v>389</v>
      </c>
      <c r="B190" s="1" t="s">
        <v>40</v>
      </c>
      <c r="C190" s="1" t="s">
        <v>229</v>
      </c>
      <c r="D190" s="1" t="s">
        <v>16</v>
      </c>
      <c r="E190" s="1" t="s">
        <v>17</v>
      </c>
      <c r="F190" s="1">
        <v>3360</v>
      </c>
      <c r="G190" s="1">
        <v>525</v>
      </c>
      <c r="H190" s="1">
        <v>500</v>
      </c>
      <c r="I190" s="1">
        <v>60480</v>
      </c>
      <c r="J190" s="1">
        <v>59610</v>
      </c>
      <c r="K190" s="1">
        <v>192</v>
      </c>
      <c r="L190" s="1" t="s">
        <v>82</v>
      </c>
      <c r="M190" s="1" t="s">
        <v>19</v>
      </c>
    </row>
    <row r="191" spans="1:13" ht="14.25" customHeight="1" x14ac:dyDescent="0.3">
      <c r="A191" s="1" t="s">
        <v>390</v>
      </c>
      <c r="B191" s="1" t="s">
        <v>27</v>
      </c>
      <c r="C191" s="1" t="s">
        <v>391</v>
      </c>
      <c r="D191" s="1" t="s">
        <v>22</v>
      </c>
      <c r="E191" s="1" t="s">
        <v>23</v>
      </c>
      <c r="F191" s="1">
        <v>1963</v>
      </c>
      <c r="G191" s="1">
        <v>213</v>
      </c>
      <c r="H191" s="1">
        <v>19</v>
      </c>
      <c r="I191" s="1">
        <v>39260</v>
      </c>
      <c r="J191" s="1">
        <v>38771</v>
      </c>
      <c r="K191" s="1">
        <v>145</v>
      </c>
      <c r="L191" s="1" t="s">
        <v>58</v>
      </c>
      <c r="M191" s="1" t="s">
        <v>19</v>
      </c>
    </row>
    <row r="192" spans="1:13" ht="14.25" customHeight="1" x14ac:dyDescent="0.3">
      <c r="A192" s="1" t="s">
        <v>392</v>
      </c>
      <c r="B192" s="1" t="s">
        <v>27</v>
      </c>
      <c r="C192" s="1" t="s">
        <v>357</v>
      </c>
      <c r="D192" s="1" t="s">
        <v>33</v>
      </c>
      <c r="E192" s="1" t="s">
        <v>34</v>
      </c>
      <c r="F192" s="1">
        <v>4285</v>
      </c>
      <c r="G192" s="1">
        <v>886</v>
      </c>
      <c r="H192" s="1">
        <v>376</v>
      </c>
      <c r="I192" s="1">
        <v>55705</v>
      </c>
      <c r="J192" s="1">
        <v>55556</v>
      </c>
      <c r="K192" s="1">
        <v>51</v>
      </c>
      <c r="L192" s="1" t="s">
        <v>71</v>
      </c>
      <c r="M192" s="1" t="s">
        <v>55</v>
      </c>
    </row>
    <row r="193" spans="1:13" ht="14.25" customHeight="1" x14ac:dyDescent="0.3">
      <c r="A193" s="1" t="s">
        <v>393</v>
      </c>
      <c r="B193" s="1" t="s">
        <v>31</v>
      </c>
      <c r="C193" s="1" t="s">
        <v>394</v>
      </c>
      <c r="D193" s="1" t="s">
        <v>69</v>
      </c>
      <c r="E193" s="1" t="s">
        <v>70</v>
      </c>
      <c r="F193" s="1">
        <v>1176</v>
      </c>
      <c r="G193" s="1">
        <v>464</v>
      </c>
      <c r="H193" s="1">
        <v>394</v>
      </c>
      <c r="I193" s="1">
        <v>14112</v>
      </c>
      <c r="J193" s="1">
        <v>13588</v>
      </c>
      <c r="K193" s="1">
        <v>272</v>
      </c>
      <c r="L193" s="1" t="s">
        <v>77</v>
      </c>
      <c r="M193" s="1" t="s">
        <v>19</v>
      </c>
    </row>
    <row r="194" spans="1:13" ht="14.25" customHeight="1" x14ac:dyDescent="0.3">
      <c r="A194" s="1" t="s">
        <v>395</v>
      </c>
      <c r="B194" s="1" t="s">
        <v>14</v>
      </c>
      <c r="C194" s="1" t="s">
        <v>396</v>
      </c>
      <c r="D194" s="1" t="s">
        <v>49</v>
      </c>
      <c r="E194" s="1" t="s">
        <v>50</v>
      </c>
      <c r="F194" s="1">
        <v>4858</v>
      </c>
      <c r="G194" s="1">
        <v>317</v>
      </c>
      <c r="H194" s="1">
        <v>129</v>
      </c>
      <c r="I194" s="1">
        <v>53438</v>
      </c>
      <c r="J194" s="1">
        <v>52687</v>
      </c>
      <c r="K194" s="1">
        <v>223</v>
      </c>
      <c r="L194" s="1" t="s">
        <v>178</v>
      </c>
      <c r="M194" s="1" t="s">
        <v>19</v>
      </c>
    </row>
    <row r="195" spans="1:13" ht="14.25" customHeight="1" x14ac:dyDescent="0.3">
      <c r="A195" s="1" t="s">
        <v>397</v>
      </c>
      <c r="B195" s="1" t="s">
        <v>27</v>
      </c>
      <c r="C195" s="1" t="s">
        <v>270</v>
      </c>
      <c r="D195" s="1" t="s">
        <v>33</v>
      </c>
      <c r="E195" s="1" t="s">
        <v>34</v>
      </c>
      <c r="F195" s="1">
        <v>4350</v>
      </c>
      <c r="G195" s="1">
        <v>771</v>
      </c>
      <c r="H195" s="1">
        <v>7</v>
      </c>
      <c r="I195" s="1">
        <v>60900</v>
      </c>
      <c r="J195" s="1">
        <v>60592</v>
      </c>
      <c r="K195" s="1">
        <v>195</v>
      </c>
      <c r="L195" s="1" t="s">
        <v>264</v>
      </c>
      <c r="M195" s="1" t="s">
        <v>25</v>
      </c>
    </row>
    <row r="196" spans="1:13" ht="14.25" customHeight="1" x14ac:dyDescent="0.3">
      <c r="A196" s="1" t="s">
        <v>398</v>
      </c>
      <c r="B196" s="1" t="s">
        <v>31</v>
      </c>
      <c r="C196" s="1" t="s">
        <v>399</v>
      </c>
      <c r="D196" s="1" t="s">
        <v>42</v>
      </c>
      <c r="E196" s="1" t="s">
        <v>43</v>
      </c>
      <c r="F196" s="1">
        <v>914</v>
      </c>
      <c r="G196" s="1">
        <v>464</v>
      </c>
      <c r="H196" s="1">
        <v>246</v>
      </c>
      <c r="I196" s="1">
        <v>11882</v>
      </c>
      <c r="J196" s="1">
        <v>11500</v>
      </c>
      <c r="K196" s="1">
        <v>282</v>
      </c>
      <c r="L196" s="1" t="s">
        <v>285</v>
      </c>
      <c r="M196" s="1" t="s">
        <v>38</v>
      </c>
    </row>
    <row r="197" spans="1:13" ht="14.25" customHeight="1" x14ac:dyDescent="0.3">
      <c r="A197" s="1" t="s">
        <v>400</v>
      </c>
      <c r="B197" s="1" t="s">
        <v>31</v>
      </c>
      <c r="C197" s="1" t="s">
        <v>401</v>
      </c>
      <c r="D197" s="1" t="s">
        <v>22</v>
      </c>
      <c r="E197" s="1" t="s">
        <v>23</v>
      </c>
      <c r="F197" s="1">
        <v>1813</v>
      </c>
      <c r="G197" s="1">
        <v>623</v>
      </c>
      <c r="H197" s="1">
        <v>72</v>
      </c>
      <c r="I197" s="1">
        <v>19943</v>
      </c>
      <c r="J197" s="1">
        <v>18959</v>
      </c>
      <c r="K197" s="1">
        <v>85</v>
      </c>
      <c r="L197" s="1" t="s">
        <v>105</v>
      </c>
      <c r="M197" s="1" t="s">
        <v>38</v>
      </c>
    </row>
    <row r="198" spans="1:13" ht="14.25" customHeight="1" x14ac:dyDescent="0.3">
      <c r="A198" s="1" t="s">
        <v>402</v>
      </c>
      <c r="B198" s="1" t="s">
        <v>14</v>
      </c>
      <c r="C198" s="1" t="s">
        <v>336</v>
      </c>
      <c r="D198" s="1" t="s">
        <v>16</v>
      </c>
      <c r="E198" s="1" t="s">
        <v>17</v>
      </c>
      <c r="F198" s="1">
        <v>4782</v>
      </c>
      <c r="G198" s="1">
        <v>721</v>
      </c>
      <c r="H198" s="1">
        <v>82</v>
      </c>
      <c r="I198" s="1">
        <v>86076</v>
      </c>
      <c r="J198" s="1">
        <v>85339</v>
      </c>
      <c r="K198" s="1">
        <v>19</v>
      </c>
      <c r="L198" s="1" t="s">
        <v>77</v>
      </c>
      <c r="M198" s="1" t="s">
        <v>25</v>
      </c>
    </row>
    <row r="199" spans="1:13" ht="14.25" customHeight="1" x14ac:dyDescent="0.3">
      <c r="A199" s="1" t="s">
        <v>403</v>
      </c>
      <c r="B199" s="1" t="s">
        <v>14</v>
      </c>
      <c r="C199" s="1" t="s">
        <v>404</v>
      </c>
      <c r="D199" s="1" t="s">
        <v>49</v>
      </c>
      <c r="E199" s="1" t="s">
        <v>50</v>
      </c>
      <c r="F199" s="1">
        <v>1048</v>
      </c>
      <c r="G199" s="1">
        <v>374</v>
      </c>
      <c r="H199" s="1">
        <v>450</v>
      </c>
      <c r="I199" s="1">
        <v>9432</v>
      </c>
      <c r="J199" s="1">
        <v>8882</v>
      </c>
      <c r="K199" s="1">
        <v>158</v>
      </c>
      <c r="L199" s="1" t="s">
        <v>209</v>
      </c>
      <c r="M199" s="1" t="s">
        <v>25</v>
      </c>
    </row>
    <row r="200" spans="1:13" ht="14.25" customHeight="1" x14ac:dyDescent="0.3">
      <c r="A200" s="1" t="s">
        <v>405</v>
      </c>
      <c r="B200" s="1" t="s">
        <v>27</v>
      </c>
      <c r="C200" s="1" t="s">
        <v>118</v>
      </c>
      <c r="D200" s="1" t="s">
        <v>42</v>
      </c>
      <c r="E200" s="1" t="s">
        <v>43</v>
      </c>
      <c r="F200" s="1">
        <v>2509</v>
      </c>
      <c r="G200" s="1">
        <v>324</v>
      </c>
      <c r="H200" s="1">
        <v>171</v>
      </c>
      <c r="I200" s="1">
        <v>35126</v>
      </c>
      <c r="J200" s="1">
        <v>34685</v>
      </c>
      <c r="K200" s="1">
        <v>277</v>
      </c>
      <c r="L200" s="1" t="s">
        <v>77</v>
      </c>
      <c r="M200" s="1" t="s">
        <v>25</v>
      </c>
    </row>
    <row r="201" spans="1:13" ht="14.25" customHeight="1" x14ac:dyDescent="0.3">
      <c r="A201" s="1" t="s">
        <v>406</v>
      </c>
      <c r="B201" s="1" t="s">
        <v>40</v>
      </c>
      <c r="C201" s="1" t="s">
        <v>407</v>
      </c>
      <c r="D201" s="1" t="s">
        <v>16</v>
      </c>
      <c r="E201" s="1" t="s">
        <v>17</v>
      </c>
      <c r="F201" s="1">
        <v>3718</v>
      </c>
      <c r="G201" s="1">
        <v>385</v>
      </c>
      <c r="H201" s="1">
        <v>310</v>
      </c>
      <c r="I201" s="1">
        <v>70642</v>
      </c>
      <c r="J201" s="1">
        <v>69749</v>
      </c>
      <c r="K201" s="1">
        <v>233</v>
      </c>
      <c r="L201" s="1" t="s">
        <v>44</v>
      </c>
      <c r="M201" s="1" t="s">
        <v>19</v>
      </c>
    </row>
    <row r="202" spans="1:13" ht="14.25" customHeight="1" x14ac:dyDescent="0.3">
      <c r="A202" s="1" t="s">
        <v>408</v>
      </c>
      <c r="B202" s="1" t="s">
        <v>14</v>
      </c>
      <c r="C202" s="1" t="s">
        <v>409</v>
      </c>
      <c r="D202" s="1" t="s">
        <v>16</v>
      </c>
      <c r="E202" s="1" t="s">
        <v>17</v>
      </c>
      <c r="F202" s="1">
        <v>802</v>
      </c>
      <c r="G202" s="1">
        <v>262</v>
      </c>
      <c r="H202" s="1">
        <v>244</v>
      </c>
      <c r="I202" s="1">
        <v>14436</v>
      </c>
      <c r="J202" s="1">
        <v>14280</v>
      </c>
      <c r="K202" s="1">
        <v>49</v>
      </c>
      <c r="L202" s="1" t="s">
        <v>74</v>
      </c>
      <c r="M202" s="1" t="s">
        <v>55</v>
      </c>
    </row>
    <row r="203" spans="1:13" ht="14.25" customHeight="1" x14ac:dyDescent="0.3">
      <c r="A203" s="1" t="s">
        <v>410</v>
      </c>
      <c r="B203" s="1" t="s">
        <v>40</v>
      </c>
      <c r="C203" s="1" t="s">
        <v>411</v>
      </c>
      <c r="D203" s="1" t="s">
        <v>49</v>
      </c>
      <c r="E203" s="1" t="s">
        <v>50</v>
      </c>
      <c r="F203" s="1">
        <v>1871</v>
      </c>
      <c r="G203" s="1">
        <v>252</v>
      </c>
      <c r="H203" s="1">
        <v>335</v>
      </c>
      <c r="I203" s="1">
        <v>29936</v>
      </c>
      <c r="J203" s="1">
        <v>29576</v>
      </c>
      <c r="K203" s="1">
        <v>288</v>
      </c>
      <c r="L203" s="1" t="s">
        <v>44</v>
      </c>
      <c r="M203" s="1" t="s">
        <v>25</v>
      </c>
    </row>
    <row r="204" spans="1:13" ht="14.25" customHeight="1" x14ac:dyDescent="0.3">
      <c r="A204" s="1" t="s">
        <v>412</v>
      </c>
      <c r="B204" s="1" t="s">
        <v>31</v>
      </c>
      <c r="C204" s="1" t="s">
        <v>413</v>
      </c>
      <c r="D204" s="1" t="s">
        <v>42</v>
      </c>
      <c r="E204" s="1" t="s">
        <v>43</v>
      </c>
      <c r="F204" s="1">
        <v>3773</v>
      </c>
      <c r="G204" s="1">
        <v>299</v>
      </c>
      <c r="H204" s="1">
        <v>38</v>
      </c>
      <c r="I204" s="1">
        <v>71687</v>
      </c>
      <c r="J204" s="1">
        <v>71447</v>
      </c>
      <c r="K204" s="1">
        <v>286</v>
      </c>
      <c r="L204" s="1" t="s">
        <v>44</v>
      </c>
      <c r="M204" s="1" t="s">
        <v>55</v>
      </c>
    </row>
    <row r="205" spans="1:13" ht="14.25" customHeight="1" x14ac:dyDescent="0.3">
      <c r="A205" s="1" t="s">
        <v>414</v>
      </c>
      <c r="B205" s="1" t="s">
        <v>31</v>
      </c>
      <c r="C205" s="1" t="s">
        <v>331</v>
      </c>
      <c r="D205" s="1" t="s">
        <v>42</v>
      </c>
      <c r="E205" s="1" t="s">
        <v>43</v>
      </c>
      <c r="F205" s="1">
        <v>2234</v>
      </c>
      <c r="G205" s="1">
        <v>653</v>
      </c>
      <c r="H205" s="1">
        <v>432</v>
      </c>
      <c r="I205" s="1">
        <v>11170</v>
      </c>
      <c r="J205" s="1">
        <v>10569</v>
      </c>
      <c r="K205" s="1">
        <v>198</v>
      </c>
      <c r="L205" s="1" t="s">
        <v>264</v>
      </c>
      <c r="M205" s="1" t="s">
        <v>55</v>
      </c>
    </row>
    <row r="206" spans="1:13" ht="14.25" customHeight="1" x14ac:dyDescent="0.3">
      <c r="A206" s="1" t="s">
        <v>415</v>
      </c>
      <c r="B206" s="1" t="s">
        <v>14</v>
      </c>
      <c r="C206" s="1" t="s">
        <v>302</v>
      </c>
      <c r="D206" s="1" t="s">
        <v>69</v>
      </c>
      <c r="E206" s="1" t="s">
        <v>70</v>
      </c>
      <c r="F206" s="1">
        <v>3820</v>
      </c>
      <c r="G206" s="1">
        <v>697</v>
      </c>
      <c r="H206" s="1">
        <v>268</v>
      </c>
      <c r="I206" s="1">
        <v>45840</v>
      </c>
      <c r="J206" s="1">
        <v>45631</v>
      </c>
      <c r="K206" s="1">
        <v>171</v>
      </c>
      <c r="L206" s="1" t="s">
        <v>162</v>
      </c>
      <c r="M206" s="1" t="s">
        <v>19</v>
      </c>
    </row>
    <row r="207" spans="1:13" ht="14.25" customHeight="1" x14ac:dyDescent="0.3">
      <c r="A207" s="1" t="s">
        <v>416</v>
      </c>
      <c r="B207" s="1" t="s">
        <v>14</v>
      </c>
      <c r="C207" s="1" t="s">
        <v>46</v>
      </c>
      <c r="D207" s="1" t="s">
        <v>22</v>
      </c>
      <c r="E207" s="1" t="s">
        <v>23</v>
      </c>
      <c r="F207" s="1">
        <v>941</v>
      </c>
      <c r="G207" s="1">
        <v>121</v>
      </c>
      <c r="H207" s="1">
        <v>458</v>
      </c>
      <c r="I207" s="1">
        <v>14115</v>
      </c>
      <c r="J207" s="1">
        <v>13838</v>
      </c>
      <c r="K207" s="1">
        <v>87</v>
      </c>
      <c r="L207" s="1" t="s">
        <v>29</v>
      </c>
      <c r="M207" s="1" t="s">
        <v>25</v>
      </c>
    </row>
    <row r="208" spans="1:13" ht="14.25" customHeight="1" x14ac:dyDescent="0.3">
      <c r="A208" s="1" t="s">
        <v>417</v>
      </c>
      <c r="B208" s="1" t="s">
        <v>14</v>
      </c>
      <c r="C208" s="1" t="s">
        <v>418</v>
      </c>
      <c r="D208" s="1" t="s">
        <v>42</v>
      </c>
      <c r="E208" s="1" t="s">
        <v>43</v>
      </c>
      <c r="F208" s="1">
        <v>4274</v>
      </c>
      <c r="G208" s="1">
        <v>340</v>
      </c>
      <c r="H208" s="1">
        <v>281</v>
      </c>
      <c r="I208" s="1">
        <v>34192</v>
      </c>
      <c r="J208" s="1">
        <v>33446</v>
      </c>
      <c r="K208" s="1">
        <v>129</v>
      </c>
      <c r="L208" s="1" t="s">
        <v>162</v>
      </c>
      <c r="M208" s="1" t="s">
        <v>38</v>
      </c>
    </row>
    <row r="209" spans="1:13" ht="14.25" customHeight="1" x14ac:dyDescent="0.3">
      <c r="A209" s="1" t="s">
        <v>419</v>
      </c>
      <c r="B209" s="1" t="s">
        <v>27</v>
      </c>
      <c r="C209" s="1" t="s">
        <v>46</v>
      </c>
      <c r="D209" s="1" t="s">
        <v>69</v>
      </c>
      <c r="E209" s="1" t="s">
        <v>70</v>
      </c>
      <c r="F209" s="1">
        <v>2949</v>
      </c>
      <c r="G209" s="1">
        <v>476</v>
      </c>
      <c r="H209" s="1">
        <v>403</v>
      </c>
      <c r="I209" s="1">
        <v>44235</v>
      </c>
      <c r="J209" s="1">
        <v>43705</v>
      </c>
      <c r="K209" s="1">
        <v>135</v>
      </c>
      <c r="L209" s="1" t="s">
        <v>116</v>
      </c>
      <c r="M209" s="1" t="s">
        <v>19</v>
      </c>
    </row>
    <row r="210" spans="1:13" ht="14.25" customHeight="1" x14ac:dyDescent="0.3">
      <c r="A210" s="1" t="s">
        <v>420</v>
      </c>
      <c r="B210" s="1" t="s">
        <v>14</v>
      </c>
      <c r="C210" s="1" t="s">
        <v>421</v>
      </c>
      <c r="D210" s="1" t="s">
        <v>69</v>
      </c>
      <c r="E210" s="1" t="s">
        <v>70</v>
      </c>
      <c r="F210" s="1">
        <v>3160</v>
      </c>
      <c r="G210" s="1">
        <v>204</v>
      </c>
      <c r="H210" s="1">
        <v>297</v>
      </c>
      <c r="I210" s="1">
        <v>44240</v>
      </c>
      <c r="J210" s="1">
        <v>43666</v>
      </c>
      <c r="K210" s="1">
        <v>49</v>
      </c>
      <c r="L210" s="1" t="s">
        <v>87</v>
      </c>
      <c r="M210" s="1" t="s">
        <v>19</v>
      </c>
    </row>
    <row r="211" spans="1:13" ht="14.25" customHeight="1" x14ac:dyDescent="0.3">
      <c r="A211" s="1" t="s">
        <v>422</v>
      </c>
      <c r="B211" s="1" t="s">
        <v>27</v>
      </c>
      <c r="C211" s="1" t="s">
        <v>345</v>
      </c>
      <c r="D211" s="1" t="s">
        <v>49</v>
      </c>
      <c r="E211" s="1" t="s">
        <v>50</v>
      </c>
      <c r="F211" s="1">
        <v>257</v>
      </c>
      <c r="G211" s="1">
        <v>966</v>
      </c>
      <c r="H211" s="1">
        <v>398</v>
      </c>
      <c r="I211" s="1">
        <v>3341</v>
      </c>
      <c r="J211" s="1">
        <v>2753</v>
      </c>
      <c r="K211" s="1">
        <v>287</v>
      </c>
      <c r="L211" s="1" t="s">
        <v>209</v>
      </c>
      <c r="M211" s="1" t="s">
        <v>19</v>
      </c>
    </row>
    <row r="212" spans="1:13" ht="14.25" customHeight="1" x14ac:dyDescent="0.3">
      <c r="A212" s="1" t="s">
        <v>423</v>
      </c>
      <c r="B212" s="1" t="s">
        <v>14</v>
      </c>
      <c r="C212" s="1" t="s">
        <v>424</v>
      </c>
      <c r="D212" s="1" t="s">
        <v>42</v>
      </c>
      <c r="E212" s="1" t="s">
        <v>43</v>
      </c>
      <c r="F212" s="1">
        <v>2120</v>
      </c>
      <c r="G212" s="1">
        <v>38</v>
      </c>
      <c r="H212" s="1">
        <v>212</v>
      </c>
      <c r="I212" s="1">
        <v>12720</v>
      </c>
      <c r="J212" s="1">
        <v>12564</v>
      </c>
      <c r="K212" s="1">
        <v>21</v>
      </c>
      <c r="L212" s="1" t="s">
        <v>209</v>
      </c>
      <c r="M212" s="1" t="s">
        <v>19</v>
      </c>
    </row>
    <row r="213" spans="1:13" ht="14.25" customHeight="1" x14ac:dyDescent="0.3">
      <c r="A213" s="1" t="s">
        <v>425</v>
      </c>
      <c r="B213" s="1" t="s">
        <v>27</v>
      </c>
      <c r="C213" s="1" t="s">
        <v>193</v>
      </c>
      <c r="D213" s="1" t="s">
        <v>69</v>
      </c>
      <c r="E213" s="1" t="s">
        <v>70</v>
      </c>
      <c r="F213" s="1">
        <v>3874</v>
      </c>
      <c r="G213" s="1">
        <v>884</v>
      </c>
      <c r="H213" s="1">
        <v>19</v>
      </c>
      <c r="I213" s="1">
        <v>38740</v>
      </c>
      <c r="J213" s="1">
        <v>38552</v>
      </c>
      <c r="K213" s="1">
        <v>219</v>
      </c>
      <c r="L213" s="1" t="s">
        <v>58</v>
      </c>
      <c r="M213" s="1" t="s">
        <v>55</v>
      </c>
    </row>
    <row r="214" spans="1:13" ht="14.25" customHeight="1" x14ac:dyDescent="0.3">
      <c r="A214" s="1" t="s">
        <v>426</v>
      </c>
      <c r="B214" s="1" t="s">
        <v>40</v>
      </c>
      <c r="C214" s="1" t="s">
        <v>427</v>
      </c>
      <c r="D214" s="1" t="s">
        <v>42</v>
      </c>
      <c r="E214" s="1" t="s">
        <v>43</v>
      </c>
      <c r="F214" s="1">
        <v>2696</v>
      </c>
      <c r="G214" s="1">
        <v>628</v>
      </c>
      <c r="H214" s="1">
        <v>443</v>
      </c>
      <c r="I214" s="1">
        <v>45832</v>
      </c>
      <c r="J214" s="1">
        <v>45632</v>
      </c>
      <c r="K214" s="1">
        <v>248</v>
      </c>
      <c r="L214" s="1" t="s">
        <v>18</v>
      </c>
      <c r="M214" s="1" t="s">
        <v>38</v>
      </c>
    </row>
    <row r="215" spans="1:13" ht="14.25" customHeight="1" x14ac:dyDescent="0.3">
      <c r="A215" s="1" t="s">
        <v>428</v>
      </c>
      <c r="B215" s="1" t="s">
        <v>31</v>
      </c>
      <c r="C215" s="1" t="s">
        <v>15</v>
      </c>
      <c r="D215" s="1" t="s">
        <v>49</v>
      </c>
      <c r="E215" s="1" t="s">
        <v>50</v>
      </c>
      <c r="F215" s="1">
        <v>521</v>
      </c>
      <c r="G215" s="1">
        <v>746</v>
      </c>
      <c r="H215" s="1">
        <v>315</v>
      </c>
      <c r="I215" s="1">
        <v>4168</v>
      </c>
      <c r="J215" s="1">
        <v>3399</v>
      </c>
      <c r="K215" s="1">
        <v>282</v>
      </c>
      <c r="L215" s="1" t="s">
        <v>18</v>
      </c>
      <c r="M215" s="1" t="s">
        <v>19</v>
      </c>
    </row>
    <row r="216" spans="1:13" ht="14.25" customHeight="1" x14ac:dyDescent="0.3">
      <c r="A216" s="1" t="s">
        <v>429</v>
      </c>
      <c r="B216" s="1" t="s">
        <v>40</v>
      </c>
      <c r="C216" s="1" t="s">
        <v>430</v>
      </c>
      <c r="D216" s="1" t="s">
        <v>49</v>
      </c>
      <c r="E216" s="1" t="s">
        <v>50</v>
      </c>
      <c r="F216" s="1">
        <v>4872</v>
      </c>
      <c r="G216" s="1">
        <v>925</v>
      </c>
      <c r="H216" s="1">
        <v>176</v>
      </c>
      <c r="I216" s="1">
        <v>82824</v>
      </c>
      <c r="J216" s="1">
        <v>82543</v>
      </c>
      <c r="K216" s="1">
        <v>89</v>
      </c>
      <c r="L216" s="1" t="s">
        <v>102</v>
      </c>
      <c r="M216" s="1" t="s">
        <v>19</v>
      </c>
    </row>
    <row r="217" spans="1:13" ht="14.25" customHeight="1" x14ac:dyDescent="0.3">
      <c r="A217" s="1" t="s">
        <v>431</v>
      </c>
      <c r="B217" s="1" t="s">
        <v>27</v>
      </c>
      <c r="C217" s="1" t="s">
        <v>263</v>
      </c>
      <c r="D217" s="1" t="s">
        <v>33</v>
      </c>
      <c r="E217" s="1" t="s">
        <v>34</v>
      </c>
      <c r="F217" s="1">
        <v>1509</v>
      </c>
      <c r="G217" s="1">
        <v>88</v>
      </c>
      <c r="H217" s="1">
        <v>163</v>
      </c>
      <c r="I217" s="1">
        <v>30180</v>
      </c>
      <c r="J217" s="1">
        <v>29689</v>
      </c>
      <c r="K217" s="1">
        <v>119</v>
      </c>
      <c r="L217" s="1" t="s">
        <v>44</v>
      </c>
      <c r="M217" s="1" t="s">
        <v>19</v>
      </c>
    </row>
    <row r="218" spans="1:13" ht="14.25" customHeight="1" x14ac:dyDescent="0.3">
      <c r="A218" s="1" t="s">
        <v>432</v>
      </c>
      <c r="B218" s="1" t="s">
        <v>40</v>
      </c>
      <c r="C218" s="1" t="s">
        <v>357</v>
      </c>
      <c r="D218" s="1" t="s">
        <v>49</v>
      </c>
      <c r="E218" s="1" t="s">
        <v>50</v>
      </c>
      <c r="F218" s="1">
        <v>4606</v>
      </c>
      <c r="G218" s="1">
        <v>931</v>
      </c>
      <c r="H218" s="1">
        <v>230</v>
      </c>
      <c r="I218" s="1">
        <v>92120</v>
      </c>
      <c r="J218" s="1">
        <v>91440</v>
      </c>
      <c r="K218" s="1">
        <v>56</v>
      </c>
      <c r="L218" s="1" t="s">
        <v>144</v>
      </c>
      <c r="M218" s="1" t="s">
        <v>38</v>
      </c>
    </row>
    <row r="219" spans="1:13" ht="14.25" customHeight="1" x14ac:dyDescent="0.3">
      <c r="A219" s="1" t="s">
        <v>433</v>
      </c>
      <c r="B219" s="1" t="s">
        <v>40</v>
      </c>
      <c r="C219" s="1" t="s">
        <v>249</v>
      </c>
      <c r="D219" s="1" t="s">
        <v>42</v>
      </c>
      <c r="E219" s="1" t="s">
        <v>43</v>
      </c>
      <c r="F219" s="1">
        <v>1869</v>
      </c>
      <c r="G219" s="1">
        <v>453</v>
      </c>
      <c r="H219" s="1">
        <v>490</v>
      </c>
      <c r="I219" s="1">
        <v>14952</v>
      </c>
      <c r="J219" s="1">
        <v>14309</v>
      </c>
      <c r="K219" s="1">
        <v>275</v>
      </c>
      <c r="L219" s="1" t="s">
        <v>264</v>
      </c>
      <c r="M219" s="1" t="s">
        <v>19</v>
      </c>
    </row>
    <row r="220" spans="1:13" ht="14.25" customHeight="1" x14ac:dyDescent="0.3">
      <c r="A220" s="1" t="s">
        <v>434</v>
      </c>
      <c r="B220" s="1" t="s">
        <v>14</v>
      </c>
      <c r="C220" s="1" t="s">
        <v>170</v>
      </c>
      <c r="D220" s="1" t="s">
        <v>16</v>
      </c>
      <c r="E220" s="1" t="s">
        <v>17</v>
      </c>
      <c r="F220" s="1">
        <v>1188</v>
      </c>
      <c r="G220" s="1">
        <v>470</v>
      </c>
      <c r="H220" s="1">
        <v>174</v>
      </c>
      <c r="I220" s="1">
        <v>7128</v>
      </c>
      <c r="J220" s="1">
        <v>6145</v>
      </c>
      <c r="K220" s="1">
        <v>270</v>
      </c>
      <c r="L220" s="1" t="s">
        <v>37</v>
      </c>
      <c r="M220" s="1" t="s">
        <v>25</v>
      </c>
    </row>
    <row r="221" spans="1:13" ht="14.25" customHeight="1" x14ac:dyDescent="0.3">
      <c r="A221" s="1" t="s">
        <v>435</v>
      </c>
      <c r="B221" s="1" t="s">
        <v>31</v>
      </c>
      <c r="C221" s="1" t="s">
        <v>411</v>
      </c>
      <c r="D221" s="1" t="s">
        <v>33</v>
      </c>
      <c r="E221" s="1" t="s">
        <v>34</v>
      </c>
      <c r="F221" s="1">
        <v>84</v>
      </c>
      <c r="G221" s="1">
        <v>897</v>
      </c>
      <c r="H221" s="1">
        <v>85</v>
      </c>
      <c r="I221" s="1">
        <v>588</v>
      </c>
      <c r="J221" s="1">
        <v>8</v>
      </c>
      <c r="K221" s="1">
        <v>12</v>
      </c>
      <c r="L221" s="1" t="s">
        <v>58</v>
      </c>
      <c r="M221" s="1" t="s">
        <v>25</v>
      </c>
    </row>
    <row r="222" spans="1:13" ht="14.25" customHeight="1" x14ac:dyDescent="0.3">
      <c r="A222" s="1" t="s">
        <v>436</v>
      </c>
      <c r="B222" s="1" t="s">
        <v>40</v>
      </c>
      <c r="C222" s="1" t="s">
        <v>251</v>
      </c>
      <c r="D222" s="1" t="s">
        <v>69</v>
      </c>
      <c r="E222" s="1" t="s">
        <v>70</v>
      </c>
      <c r="F222" s="1">
        <v>4453</v>
      </c>
      <c r="G222" s="1">
        <v>111</v>
      </c>
      <c r="H222" s="1">
        <v>420</v>
      </c>
      <c r="I222" s="1">
        <v>31171</v>
      </c>
      <c r="J222" s="1">
        <v>30565</v>
      </c>
      <c r="K222" s="1">
        <v>23</v>
      </c>
      <c r="L222" s="1" t="s">
        <v>105</v>
      </c>
      <c r="M222" s="1" t="s">
        <v>55</v>
      </c>
    </row>
    <row r="223" spans="1:13" ht="14.25" customHeight="1" x14ac:dyDescent="0.3">
      <c r="A223" s="1" t="s">
        <v>437</v>
      </c>
      <c r="B223" s="1" t="s">
        <v>40</v>
      </c>
      <c r="C223" s="1" t="s">
        <v>438</v>
      </c>
      <c r="D223" s="1" t="s">
        <v>16</v>
      </c>
      <c r="E223" s="1" t="s">
        <v>17</v>
      </c>
      <c r="F223" s="1">
        <v>1814</v>
      </c>
      <c r="G223" s="1">
        <v>653</v>
      </c>
      <c r="H223" s="1">
        <v>363</v>
      </c>
      <c r="I223" s="1">
        <v>25396</v>
      </c>
      <c r="J223" s="1">
        <v>25286</v>
      </c>
      <c r="K223" s="1">
        <v>39</v>
      </c>
      <c r="L223" s="1" t="s">
        <v>58</v>
      </c>
      <c r="M223" s="1" t="s">
        <v>19</v>
      </c>
    </row>
    <row r="224" spans="1:13" ht="14.25" customHeight="1" x14ac:dyDescent="0.3">
      <c r="A224" s="1" t="s">
        <v>439</v>
      </c>
      <c r="B224" s="1" t="s">
        <v>14</v>
      </c>
      <c r="C224" s="1" t="s">
        <v>355</v>
      </c>
      <c r="D224" s="1" t="s">
        <v>49</v>
      </c>
      <c r="E224" s="1" t="s">
        <v>50</v>
      </c>
      <c r="F224" s="1">
        <v>3338</v>
      </c>
      <c r="G224" s="1">
        <v>277</v>
      </c>
      <c r="H224" s="1">
        <v>118</v>
      </c>
      <c r="I224" s="1">
        <v>60084</v>
      </c>
      <c r="J224" s="1">
        <v>59842</v>
      </c>
      <c r="K224" s="1">
        <v>252</v>
      </c>
      <c r="L224" s="1" t="s">
        <v>58</v>
      </c>
      <c r="M224" s="1" t="s">
        <v>19</v>
      </c>
    </row>
    <row r="225" spans="1:13" ht="14.25" customHeight="1" x14ac:dyDescent="0.3">
      <c r="A225" s="1" t="s">
        <v>440</v>
      </c>
      <c r="B225" s="1" t="s">
        <v>40</v>
      </c>
      <c r="C225" s="1" t="s">
        <v>441</v>
      </c>
      <c r="D225" s="1" t="s">
        <v>49</v>
      </c>
      <c r="E225" s="1" t="s">
        <v>50</v>
      </c>
      <c r="F225" s="1">
        <v>602</v>
      </c>
      <c r="G225" s="1">
        <v>594</v>
      </c>
      <c r="H225" s="1">
        <v>156</v>
      </c>
      <c r="I225" s="1">
        <v>4214</v>
      </c>
      <c r="J225" s="1">
        <v>3363</v>
      </c>
      <c r="K225" s="1">
        <v>164</v>
      </c>
      <c r="L225" s="1" t="s">
        <v>18</v>
      </c>
      <c r="M225" s="1" t="s">
        <v>38</v>
      </c>
    </row>
    <row r="226" spans="1:13" ht="14.25" customHeight="1" x14ac:dyDescent="0.3">
      <c r="A226" s="1" t="s">
        <v>442</v>
      </c>
      <c r="B226" s="1" t="s">
        <v>14</v>
      </c>
      <c r="C226" s="1" t="s">
        <v>370</v>
      </c>
      <c r="D226" s="1" t="s">
        <v>42</v>
      </c>
      <c r="E226" s="1" t="s">
        <v>43</v>
      </c>
      <c r="F226" s="1">
        <v>4672</v>
      </c>
      <c r="G226" s="1">
        <v>325</v>
      </c>
      <c r="H226" s="1">
        <v>32</v>
      </c>
      <c r="I226" s="1">
        <v>88768</v>
      </c>
      <c r="J226" s="1">
        <v>87833</v>
      </c>
      <c r="K226" s="1">
        <v>118</v>
      </c>
      <c r="L226" s="1" t="s">
        <v>127</v>
      </c>
      <c r="M226" s="1" t="s">
        <v>38</v>
      </c>
    </row>
    <row r="227" spans="1:13" ht="14.25" customHeight="1" x14ac:dyDescent="0.3">
      <c r="A227" s="1" t="s">
        <v>443</v>
      </c>
      <c r="B227" s="1" t="s">
        <v>31</v>
      </c>
      <c r="C227" s="1" t="s">
        <v>444</v>
      </c>
      <c r="D227" s="1" t="s">
        <v>42</v>
      </c>
      <c r="E227" s="1" t="s">
        <v>43</v>
      </c>
      <c r="F227" s="1">
        <v>1741</v>
      </c>
      <c r="G227" s="1">
        <v>164</v>
      </c>
      <c r="H227" s="1">
        <v>318</v>
      </c>
      <c r="I227" s="1">
        <v>8705</v>
      </c>
      <c r="J227" s="1">
        <v>8272</v>
      </c>
      <c r="K227" s="1">
        <v>121</v>
      </c>
      <c r="L227" s="1" t="s">
        <v>18</v>
      </c>
      <c r="M227" s="1" t="s">
        <v>25</v>
      </c>
    </row>
    <row r="228" spans="1:13" ht="14.25" customHeight="1" x14ac:dyDescent="0.3">
      <c r="A228" s="1" t="s">
        <v>445</v>
      </c>
      <c r="B228" s="1" t="s">
        <v>31</v>
      </c>
      <c r="C228" s="1" t="s">
        <v>446</v>
      </c>
      <c r="D228" s="1" t="s">
        <v>22</v>
      </c>
      <c r="E228" s="1" t="s">
        <v>23</v>
      </c>
      <c r="F228" s="1">
        <v>246</v>
      </c>
      <c r="G228" s="1">
        <v>149</v>
      </c>
      <c r="H228" s="1">
        <v>130</v>
      </c>
      <c r="I228" s="1">
        <v>4674</v>
      </c>
      <c r="J228" s="1">
        <v>4390</v>
      </c>
      <c r="K228" s="1">
        <v>217</v>
      </c>
      <c r="L228" s="1" t="s">
        <v>116</v>
      </c>
      <c r="M228" s="1" t="s">
        <v>25</v>
      </c>
    </row>
    <row r="229" spans="1:13" ht="14.25" customHeight="1" x14ac:dyDescent="0.3">
      <c r="A229" s="1" t="s">
        <v>447</v>
      </c>
      <c r="B229" s="1" t="s">
        <v>31</v>
      </c>
      <c r="C229" s="1" t="s">
        <v>448</v>
      </c>
      <c r="D229" s="1" t="s">
        <v>33</v>
      </c>
      <c r="E229" s="1" t="s">
        <v>34</v>
      </c>
      <c r="F229" s="1">
        <v>4808</v>
      </c>
      <c r="G229" s="1">
        <v>772</v>
      </c>
      <c r="H229" s="1">
        <v>320</v>
      </c>
      <c r="I229" s="1">
        <v>72120</v>
      </c>
      <c r="J229" s="1">
        <v>71696</v>
      </c>
      <c r="K229" s="1">
        <v>195</v>
      </c>
      <c r="L229" s="1" t="s">
        <v>209</v>
      </c>
      <c r="M229" s="1" t="s">
        <v>55</v>
      </c>
    </row>
    <row r="230" spans="1:13" ht="14.25" customHeight="1" x14ac:dyDescent="0.3">
      <c r="A230" s="1" t="s">
        <v>449</v>
      </c>
      <c r="B230" s="1" t="s">
        <v>31</v>
      </c>
      <c r="C230" s="1" t="s">
        <v>150</v>
      </c>
      <c r="D230" s="1" t="s">
        <v>42</v>
      </c>
      <c r="E230" s="1" t="s">
        <v>43</v>
      </c>
      <c r="F230" s="1">
        <v>4799</v>
      </c>
      <c r="G230" s="1">
        <v>694</v>
      </c>
      <c r="H230" s="1">
        <v>289</v>
      </c>
      <c r="I230" s="1">
        <v>43191</v>
      </c>
      <c r="J230" s="1">
        <v>42228</v>
      </c>
      <c r="K230" s="1">
        <v>118</v>
      </c>
      <c r="L230" s="1" t="s">
        <v>44</v>
      </c>
      <c r="M230" s="1" t="s">
        <v>25</v>
      </c>
    </row>
    <row r="231" spans="1:13" ht="14.25" customHeight="1" x14ac:dyDescent="0.3">
      <c r="A231" s="1" t="s">
        <v>450</v>
      </c>
      <c r="B231" s="1" t="s">
        <v>40</v>
      </c>
      <c r="C231" s="1" t="s">
        <v>312</v>
      </c>
      <c r="D231" s="1" t="s">
        <v>16</v>
      </c>
      <c r="E231" s="1" t="s">
        <v>17</v>
      </c>
      <c r="F231" s="1">
        <v>3663</v>
      </c>
      <c r="G231" s="1">
        <v>17</v>
      </c>
      <c r="H231" s="1">
        <v>295</v>
      </c>
      <c r="I231" s="1">
        <v>51282</v>
      </c>
      <c r="J231" s="1">
        <v>50567</v>
      </c>
      <c r="K231" s="1">
        <v>84</v>
      </c>
      <c r="L231" s="1" t="s">
        <v>18</v>
      </c>
      <c r="M231" s="1" t="s">
        <v>19</v>
      </c>
    </row>
    <row r="232" spans="1:13" ht="14.25" customHeight="1" x14ac:dyDescent="0.3">
      <c r="A232" s="1" t="s">
        <v>451</v>
      </c>
      <c r="B232" s="1" t="s">
        <v>31</v>
      </c>
      <c r="C232" s="1" t="s">
        <v>427</v>
      </c>
      <c r="D232" s="1" t="s">
        <v>22</v>
      </c>
      <c r="E232" s="1" t="s">
        <v>23</v>
      </c>
      <c r="F232" s="1">
        <v>1430</v>
      </c>
      <c r="G232" s="1">
        <v>376</v>
      </c>
      <c r="H232" s="1">
        <v>33</v>
      </c>
      <c r="I232" s="1">
        <v>21450</v>
      </c>
      <c r="J232" s="1">
        <v>20509</v>
      </c>
      <c r="K232" s="1">
        <v>251</v>
      </c>
      <c r="L232" s="1" t="s">
        <v>77</v>
      </c>
      <c r="M232" s="1" t="s">
        <v>38</v>
      </c>
    </row>
    <row r="233" spans="1:13" ht="14.25" customHeight="1" x14ac:dyDescent="0.3">
      <c r="A233" s="1" t="s">
        <v>452</v>
      </c>
      <c r="B233" s="1" t="s">
        <v>14</v>
      </c>
      <c r="C233" s="1" t="s">
        <v>453</v>
      </c>
      <c r="D233" s="1" t="s">
        <v>33</v>
      </c>
      <c r="E233" s="1" t="s">
        <v>34</v>
      </c>
      <c r="F233" s="1">
        <v>249</v>
      </c>
      <c r="G233" s="1">
        <v>592</v>
      </c>
      <c r="H233" s="1">
        <v>230</v>
      </c>
      <c r="I233" s="1">
        <v>1494</v>
      </c>
      <c r="J233" s="1">
        <v>1044</v>
      </c>
      <c r="K233" s="1">
        <v>201</v>
      </c>
      <c r="L233" s="1" t="s">
        <v>285</v>
      </c>
      <c r="M233" s="1" t="s">
        <v>55</v>
      </c>
    </row>
    <row r="234" spans="1:13" ht="14.25" customHeight="1" x14ac:dyDescent="0.3">
      <c r="A234" s="1" t="s">
        <v>454</v>
      </c>
      <c r="B234" s="1" t="s">
        <v>40</v>
      </c>
      <c r="C234" s="1" t="s">
        <v>131</v>
      </c>
      <c r="D234" s="1" t="s">
        <v>49</v>
      </c>
      <c r="E234" s="1" t="s">
        <v>50</v>
      </c>
      <c r="F234" s="1">
        <v>2382</v>
      </c>
      <c r="G234" s="1">
        <v>265</v>
      </c>
      <c r="H234" s="1">
        <v>134</v>
      </c>
      <c r="I234" s="1">
        <v>38112</v>
      </c>
      <c r="J234" s="1">
        <v>37437</v>
      </c>
      <c r="K234" s="1">
        <v>249</v>
      </c>
      <c r="L234" s="1" t="s">
        <v>178</v>
      </c>
      <c r="M234" s="1" t="s">
        <v>25</v>
      </c>
    </row>
    <row r="235" spans="1:13" ht="14.25" customHeight="1" x14ac:dyDescent="0.3">
      <c r="A235" s="1" t="s">
        <v>455</v>
      </c>
      <c r="B235" s="1" t="s">
        <v>40</v>
      </c>
      <c r="C235" s="1" t="s">
        <v>456</v>
      </c>
      <c r="D235" s="1" t="s">
        <v>22</v>
      </c>
      <c r="E235" s="1" t="s">
        <v>23</v>
      </c>
      <c r="F235" s="1">
        <v>1272</v>
      </c>
      <c r="G235" s="1">
        <v>465</v>
      </c>
      <c r="H235" s="1">
        <v>99</v>
      </c>
      <c r="I235" s="1">
        <v>24168</v>
      </c>
      <c r="J235" s="1">
        <v>23719</v>
      </c>
      <c r="K235" s="1">
        <v>42</v>
      </c>
      <c r="L235" s="1" t="s">
        <v>71</v>
      </c>
      <c r="M235" s="1" t="s">
        <v>25</v>
      </c>
    </row>
    <row r="236" spans="1:13" ht="14.25" customHeight="1" x14ac:dyDescent="0.3">
      <c r="A236" s="1" t="s">
        <v>457</v>
      </c>
      <c r="B236" s="1" t="s">
        <v>40</v>
      </c>
      <c r="C236" s="1" t="s">
        <v>387</v>
      </c>
      <c r="D236" s="1" t="s">
        <v>49</v>
      </c>
      <c r="E236" s="1" t="s">
        <v>50</v>
      </c>
      <c r="F236" s="1">
        <v>3196</v>
      </c>
      <c r="G236" s="1">
        <v>941</v>
      </c>
      <c r="H236" s="1">
        <v>376</v>
      </c>
      <c r="I236" s="1">
        <v>35156</v>
      </c>
      <c r="J236" s="1">
        <v>34444</v>
      </c>
      <c r="K236" s="1">
        <v>241</v>
      </c>
      <c r="L236" s="1" t="s">
        <v>87</v>
      </c>
      <c r="M236" s="1" t="s">
        <v>55</v>
      </c>
    </row>
    <row r="237" spans="1:13" ht="14.25" customHeight="1" x14ac:dyDescent="0.3">
      <c r="A237" s="1" t="s">
        <v>458</v>
      </c>
      <c r="B237" s="1" t="s">
        <v>40</v>
      </c>
      <c r="C237" s="1" t="s">
        <v>79</v>
      </c>
      <c r="D237" s="1" t="s">
        <v>22</v>
      </c>
      <c r="E237" s="1" t="s">
        <v>23</v>
      </c>
      <c r="F237" s="1">
        <v>1257</v>
      </c>
      <c r="G237" s="1">
        <v>19</v>
      </c>
      <c r="H237" s="1">
        <v>351</v>
      </c>
      <c r="I237" s="1">
        <v>12570</v>
      </c>
      <c r="J237" s="1">
        <v>11660</v>
      </c>
      <c r="K237" s="1">
        <v>194</v>
      </c>
      <c r="L237" s="1" t="s">
        <v>58</v>
      </c>
      <c r="M237" s="1" t="s">
        <v>19</v>
      </c>
    </row>
    <row r="238" spans="1:13" ht="14.25" customHeight="1" x14ac:dyDescent="0.3">
      <c r="A238" s="1" t="s">
        <v>459</v>
      </c>
      <c r="B238" s="1" t="s">
        <v>31</v>
      </c>
      <c r="C238" s="1" t="s">
        <v>336</v>
      </c>
      <c r="D238" s="1" t="s">
        <v>33</v>
      </c>
      <c r="E238" s="1" t="s">
        <v>34</v>
      </c>
      <c r="F238" s="1">
        <v>3770</v>
      </c>
      <c r="G238" s="1">
        <v>917</v>
      </c>
      <c r="H238" s="1">
        <v>129</v>
      </c>
      <c r="I238" s="1">
        <v>71630</v>
      </c>
      <c r="J238" s="1">
        <v>71322</v>
      </c>
      <c r="K238" s="1">
        <v>76</v>
      </c>
      <c r="L238" s="1" t="s">
        <v>102</v>
      </c>
      <c r="M238" s="1" t="s">
        <v>55</v>
      </c>
    </row>
    <row r="239" spans="1:13" ht="14.25" customHeight="1" x14ac:dyDescent="0.3">
      <c r="A239" s="1" t="s">
        <v>460</v>
      </c>
      <c r="B239" s="1" t="s">
        <v>14</v>
      </c>
      <c r="C239" s="1" t="s">
        <v>461</v>
      </c>
      <c r="D239" s="1" t="s">
        <v>22</v>
      </c>
      <c r="E239" s="1" t="s">
        <v>23</v>
      </c>
      <c r="F239" s="1">
        <v>4725</v>
      </c>
      <c r="G239" s="1">
        <v>400</v>
      </c>
      <c r="H239" s="1">
        <v>362</v>
      </c>
      <c r="I239" s="1">
        <v>75600</v>
      </c>
      <c r="J239" s="1">
        <v>74927</v>
      </c>
      <c r="K239" s="1">
        <v>43</v>
      </c>
      <c r="L239" s="1" t="s">
        <v>105</v>
      </c>
      <c r="M239" s="1" t="s">
        <v>19</v>
      </c>
    </row>
    <row r="240" spans="1:13" ht="14.25" customHeight="1" x14ac:dyDescent="0.3">
      <c r="A240" s="1" t="s">
        <v>462</v>
      </c>
      <c r="B240" s="1" t="s">
        <v>27</v>
      </c>
      <c r="C240" s="1" t="s">
        <v>143</v>
      </c>
      <c r="D240" s="1" t="s">
        <v>22</v>
      </c>
      <c r="E240" s="1" t="s">
        <v>23</v>
      </c>
      <c r="F240" s="1">
        <v>4188</v>
      </c>
      <c r="G240" s="1">
        <v>942</v>
      </c>
      <c r="H240" s="1">
        <v>118</v>
      </c>
      <c r="I240" s="1">
        <v>20940</v>
      </c>
      <c r="J240" s="1">
        <v>20471</v>
      </c>
      <c r="K240" s="1">
        <v>102</v>
      </c>
      <c r="L240" s="1" t="s">
        <v>58</v>
      </c>
      <c r="M240" s="1" t="s">
        <v>25</v>
      </c>
    </row>
    <row r="241" spans="1:13" ht="14.25" customHeight="1" x14ac:dyDescent="0.3">
      <c r="A241" s="1" t="s">
        <v>463</v>
      </c>
      <c r="B241" s="1" t="s">
        <v>14</v>
      </c>
      <c r="C241" s="1" t="s">
        <v>73</v>
      </c>
      <c r="D241" s="1" t="s">
        <v>42</v>
      </c>
      <c r="E241" s="1" t="s">
        <v>43</v>
      </c>
      <c r="F241" s="1">
        <v>929</v>
      </c>
      <c r="G241" s="1">
        <v>192</v>
      </c>
      <c r="H241" s="1">
        <v>322</v>
      </c>
      <c r="I241" s="1">
        <v>16722</v>
      </c>
      <c r="J241" s="1">
        <v>15996</v>
      </c>
      <c r="K241" s="1">
        <v>145</v>
      </c>
      <c r="L241" s="1" t="s">
        <v>24</v>
      </c>
      <c r="M241" s="1" t="s">
        <v>38</v>
      </c>
    </row>
    <row r="242" spans="1:13" ht="14.25" customHeight="1" x14ac:dyDescent="0.3">
      <c r="A242" s="1" t="s">
        <v>464</v>
      </c>
      <c r="B242" s="1" t="s">
        <v>40</v>
      </c>
      <c r="C242" s="1" t="s">
        <v>465</v>
      </c>
      <c r="D242" s="1" t="s">
        <v>33</v>
      </c>
      <c r="E242" s="1" t="s">
        <v>34</v>
      </c>
      <c r="F242" s="1">
        <v>4321</v>
      </c>
      <c r="G242" s="1">
        <v>874</v>
      </c>
      <c r="H242" s="1">
        <v>172</v>
      </c>
      <c r="I242" s="1">
        <v>30247</v>
      </c>
      <c r="J242" s="1">
        <v>29254</v>
      </c>
      <c r="K242" s="1">
        <v>122</v>
      </c>
      <c r="L242" s="1" t="s">
        <v>66</v>
      </c>
      <c r="M242" s="1" t="s">
        <v>38</v>
      </c>
    </row>
    <row r="243" spans="1:13" ht="14.25" customHeight="1" x14ac:dyDescent="0.3">
      <c r="A243" s="1" t="s">
        <v>466</v>
      </c>
      <c r="B243" s="1" t="s">
        <v>40</v>
      </c>
      <c r="C243" s="1" t="s">
        <v>223</v>
      </c>
      <c r="D243" s="1" t="s">
        <v>16</v>
      </c>
      <c r="E243" s="1" t="s">
        <v>17</v>
      </c>
      <c r="F243" s="1">
        <v>4767</v>
      </c>
      <c r="G243" s="1">
        <v>190</v>
      </c>
      <c r="H243" s="1">
        <v>340</v>
      </c>
      <c r="I243" s="1">
        <v>28602</v>
      </c>
      <c r="J243" s="1">
        <v>28044</v>
      </c>
      <c r="K243" s="1">
        <v>210</v>
      </c>
      <c r="L243" s="1" t="s">
        <v>77</v>
      </c>
      <c r="M243" s="1" t="s">
        <v>55</v>
      </c>
    </row>
    <row r="244" spans="1:13" ht="14.25" customHeight="1" x14ac:dyDescent="0.3">
      <c r="A244" s="1" t="s">
        <v>467</v>
      </c>
      <c r="B244" s="1" t="s">
        <v>14</v>
      </c>
      <c r="C244" s="1" t="s">
        <v>468</v>
      </c>
      <c r="D244" s="1" t="s">
        <v>49</v>
      </c>
      <c r="E244" s="1" t="s">
        <v>50</v>
      </c>
      <c r="F244" s="1">
        <v>3592</v>
      </c>
      <c r="G244" s="1">
        <v>911</v>
      </c>
      <c r="H244" s="1">
        <v>375</v>
      </c>
      <c r="I244" s="1">
        <v>50288</v>
      </c>
      <c r="J244" s="1">
        <v>49490</v>
      </c>
      <c r="K244" s="1">
        <v>32</v>
      </c>
      <c r="L244" s="1" t="s">
        <v>58</v>
      </c>
      <c r="M244" s="1" t="s">
        <v>25</v>
      </c>
    </row>
    <row r="245" spans="1:13" ht="14.25" customHeight="1" x14ac:dyDescent="0.3">
      <c r="A245" s="1" t="s">
        <v>469</v>
      </c>
      <c r="B245" s="1" t="s">
        <v>27</v>
      </c>
      <c r="C245" s="1" t="s">
        <v>470</v>
      </c>
      <c r="D245" s="1" t="s">
        <v>69</v>
      </c>
      <c r="E245" s="1" t="s">
        <v>70</v>
      </c>
      <c r="F245" s="1">
        <v>4661</v>
      </c>
      <c r="G245" s="1">
        <v>935</v>
      </c>
      <c r="H245" s="1">
        <v>433</v>
      </c>
      <c r="I245" s="1">
        <v>23305</v>
      </c>
      <c r="J245" s="1">
        <v>22583</v>
      </c>
      <c r="K245" s="1">
        <v>63</v>
      </c>
      <c r="L245" s="1" t="s">
        <v>162</v>
      </c>
      <c r="M245" s="1" t="s">
        <v>19</v>
      </c>
    </row>
    <row r="246" spans="1:13" ht="14.25" customHeight="1" x14ac:dyDescent="0.3">
      <c r="A246" s="1" t="s">
        <v>471</v>
      </c>
      <c r="B246" s="1" t="s">
        <v>40</v>
      </c>
      <c r="C246" s="1" t="s">
        <v>472</v>
      </c>
      <c r="D246" s="1" t="s">
        <v>16</v>
      </c>
      <c r="E246" s="1" t="s">
        <v>17</v>
      </c>
      <c r="F246" s="1">
        <v>4134</v>
      </c>
      <c r="G246" s="1">
        <v>824</v>
      </c>
      <c r="H246" s="1">
        <v>99</v>
      </c>
      <c r="I246" s="1">
        <v>41340</v>
      </c>
      <c r="J246" s="1">
        <v>41050</v>
      </c>
      <c r="K246" s="1">
        <v>177</v>
      </c>
      <c r="L246" s="1" t="s">
        <v>24</v>
      </c>
      <c r="M246" s="1" t="s">
        <v>25</v>
      </c>
    </row>
    <row r="247" spans="1:13" ht="14.25" customHeight="1" x14ac:dyDescent="0.3">
      <c r="A247" s="1" t="s">
        <v>473</v>
      </c>
      <c r="B247" s="1" t="s">
        <v>40</v>
      </c>
      <c r="C247" s="1" t="s">
        <v>474</v>
      </c>
      <c r="D247" s="1" t="s">
        <v>49</v>
      </c>
      <c r="E247" s="1" t="s">
        <v>50</v>
      </c>
      <c r="F247" s="1">
        <v>400</v>
      </c>
      <c r="G247" s="1">
        <v>680</v>
      </c>
      <c r="H247" s="1">
        <v>434</v>
      </c>
      <c r="I247" s="1">
        <v>6400</v>
      </c>
      <c r="J247" s="1">
        <v>5472</v>
      </c>
      <c r="K247" s="1">
        <v>160</v>
      </c>
      <c r="L247" s="1" t="s">
        <v>102</v>
      </c>
      <c r="M247" s="1" t="s">
        <v>25</v>
      </c>
    </row>
    <row r="248" spans="1:13" ht="14.25" customHeight="1" x14ac:dyDescent="0.3">
      <c r="A248" s="1" t="s">
        <v>475</v>
      </c>
      <c r="B248" s="1" t="s">
        <v>40</v>
      </c>
      <c r="C248" s="1" t="s">
        <v>476</v>
      </c>
      <c r="D248" s="1" t="s">
        <v>16</v>
      </c>
      <c r="E248" s="1" t="s">
        <v>17</v>
      </c>
      <c r="F248" s="1">
        <v>3960</v>
      </c>
      <c r="G248" s="1">
        <v>266</v>
      </c>
      <c r="H248" s="1">
        <v>8</v>
      </c>
      <c r="I248" s="1">
        <v>35640</v>
      </c>
      <c r="J248" s="1">
        <v>34850</v>
      </c>
      <c r="K248" s="1">
        <v>208</v>
      </c>
      <c r="L248" s="1" t="s">
        <v>105</v>
      </c>
      <c r="M248" s="1" t="s">
        <v>55</v>
      </c>
    </row>
    <row r="249" spans="1:13" ht="14.25" customHeight="1" x14ac:dyDescent="0.3">
      <c r="A249" s="1" t="s">
        <v>477</v>
      </c>
      <c r="B249" s="1" t="s">
        <v>40</v>
      </c>
      <c r="C249" s="1" t="s">
        <v>57</v>
      </c>
      <c r="D249" s="1" t="s">
        <v>33</v>
      </c>
      <c r="E249" s="1" t="s">
        <v>34</v>
      </c>
      <c r="F249" s="1">
        <v>886</v>
      </c>
      <c r="G249" s="1">
        <v>126</v>
      </c>
      <c r="H249" s="1">
        <v>153</v>
      </c>
      <c r="I249" s="1">
        <v>4430</v>
      </c>
      <c r="J249" s="1">
        <v>4037</v>
      </c>
      <c r="K249" s="1">
        <v>212</v>
      </c>
      <c r="L249" s="1" t="s">
        <v>18</v>
      </c>
      <c r="M249" s="1" t="s">
        <v>38</v>
      </c>
    </row>
    <row r="250" spans="1:13" ht="14.25" customHeight="1" x14ac:dyDescent="0.3">
      <c r="A250" s="1" t="s">
        <v>478</v>
      </c>
      <c r="B250" s="1" t="s">
        <v>14</v>
      </c>
      <c r="C250" s="1" t="s">
        <v>424</v>
      </c>
      <c r="D250" s="1" t="s">
        <v>49</v>
      </c>
      <c r="E250" s="1" t="s">
        <v>50</v>
      </c>
      <c r="F250" s="1">
        <v>827</v>
      </c>
      <c r="G250" s="1">
        <v>77</v>
      </c>
      <c r="H250" s="1">
        <v>402</v>
      </c>
      <c r="I250" s="1">
        <v>14886</v>
      </c>
      <c r="J250" s="1">
        <v>14129</v>
      </c>
      <c r="K250" s="1">
        <v>254</v>
      </c>
      <c r="L250" s="1" t="s">
        <v>58</v>
      </c>
      <c r="M250" s="1" t="s">
        <v>25</v>
      </c>
    </row>
    <row r="251" spans="1:13" ht="14.25" customHeight="1" x14ac:dyDescent="0.3">
      <c r="A251" s="1" t="s">
        <v>479</v>
      </c>
      <c r="B251" s="1" t="s">
        <v>40</v>
      </c>
      <c r="C251" s="1" t="s">
        <v>168</v>
      </c>
      <c r="D251" s="1" t="s">
        <v>16</v>
      </c>
      <c r="E251" s="1" t="s">
        <v>17</v>
      </c>
      <c r="F251" s="1">
        <v>3813</v>
      </c>
      <c r="G251" s="1">
        <v>935</v>
      </c>
      <c r="H251" s="1">
        <v>274</v>
      </c>
      <c r="I251" s="1">
        <v>68634</v>
      </c>
      <c r="J251" s="1">
        <v>68488</v>
      </c>
      <c r="K251" s="1">
        <v>251</v>
      </c>
      <c r="L251" s="1" t="s">
        <v>178</v>
      </c>
      <c r="M251" s="1" t="s">
        <v>19</v>
      </c>
    </row>
    <row r="252" spans="1:13" ht="14.25" customHeight="1" x14ac:dyDescent="0.3">
      <c r="A252" s="1" t="s">
        <v>480</v>
      </c>
      <c r="B252" s="1" t="s">
        <v>31</v>
      </c>
      <c r="C252" s="1" t="s">
        <v>481</v>
      </c>
      <c r="D252" s="1" t="s">
        <v>42</v>
      </c>
      <c r="E252" s="1" t="s">
        <v>43</v>
      </c>
      <c r="F252" s="1">
        <v>1377</v>
      </c>
      <c r="G252" s="1">
        <v>796</v>
      </c>
      <c r="H252" s="1">
        <v>387</v>
      </c>
      <c r="I252" s="1">
        <v>22032</v>
      </c>
      <c r="J252" s="1">
        <v>21869</v>
      </c>
      <c r="K252" s="1">
        <v>189</v>
      </c>
      <c r="L252" s="1" t="s">
        <v>144</v>
      </c>
      <c r="M252" s="1" t="s">
        <v>38</v>
      </c>
    </row>
    <row r="253" spans="1:13" ht="14.25" customHeight="1" x14ac:dyDescent="0.3">
      <c r="A253" s="1" t="s">
        <v>482</v>
      </c>
      <c r="B253" s="1" t="s">
        <v>40</v>
      </c>
      <c r="C253" s="1" t="s">
        <v>359</v>
      </c>
      <c r="D253" s="1" t="s">
        <v>42</v>
      </c>
      <c r="E253" s="1" t="s">
        <v>43</v>
      </c>
      <c r="F253" s="1">
        <v>2089</v>
      </c>
      <c r="G253" s="1">
        <v>476</v>
      </c>
      <c r="H253" s="1">
        <v>69</v>
      </c>
      <c r="I253" s="1">
        <v>16712</v>
      </c>
      <c r="J253" s="1">
        <v>16309</v>
      </c>
      <c r="K253" s="1">
        <v>64</v>
      </c>
      <c r="L253" s="1" t="s">
        <v>61</v>
      </c>
      <c r="M253" s="1" t="s">
        <v>19</v>
      </c>
    </row>
    <row r="254" spans="1:13" ht="14.25" customHeight="1" x14ac:dyDescent="0.3">
      <c r="A254" s="1" t="s">
        <v>483</v>
      </c>
      <c r="B254" s="1" t="s">
        <v>14</v>
      </c>
      <c r="C254" s="1" t="s">
        <v>484</v>
      </c>
      <c r="D254" s="1" t="s">
        <v>16</v>
      </c>
      <c r="E254" s="1" t="s">
        <v>17</v>
      </c>
      <c r="F254" s="1">
        <v>3791</v>
      </c>
      <c r="G254" s="1">
        <v>593</v>
      </c>
      <c r="H254" s="1">
        <v>228</v>
      </c>
      <c r="I254" s="1">
        <v>53074</v>
      </c>
      <c r="J254" s="1">
        <v>52613</v>
      </c>
      <c r="K254" s="1">
        <v>205</v>
      </c>
      <c r="L254" s="1" t="s">
        <v>162</v>
      </c>
      <c r="M254" s="1" t="s">
        <v>19</v>
      </c>
    </row>
    <row r="255" spans="1:13" ht="14.25" customHeight="1" x14ac:dyDescent="0.3">
      <c r="A255" s="1" t="s">
        <v>485</v>
      </c>
      <c r="B255" s="1" t="s">
        <v>14</v>
      </c>
      <c r="C255" s="1" t="s">
        <v>486</v>
      </c>
      <c r="D255" s="1" t="s">
        <v>49</v>
      </c>
      <c r="E255" s="1" t="s">
        <v>50</v>
      </c>
      <c r="F255" s="1">
        <v>2692</v>
      </c>
      <c r="G255" s="1">
        <v>115</v>
      </c>
      <c r="H255" s="1">
        <v>64</v>
      </c>
      <c r="I255" s="1">
        <v>21536</v>
      </c>
      <c r="J255" s="1">
        <v>21120</v>
      </c>
      <c r="K255" s="1">
        <v>224</v>
      </c>
      <c r="L255" s="1" t="s">
        <v>178</v>
      </c>
      <c r="M255" s="1" t="s">
        <v>55</v>
      </c>
    </row>
    <row r="256" spans="1:13" ht="14.25" customHeight="1" x14ac:dyDescent="0.3">
      <c r="A256" s="1" t="s">
        <v>487</v>
      </c>
      <c r="B256" s="1" t="s">
        <v>40</v>
      </c>
      <c r="C256" s="1" t="s">
        <v>21</v>
      </c>
      <c r="D256" s="1" t="s">
        <v>33</v>
      </c>
      <c r="E256" s="1" t="s">
        <v>34</v>
      </c>
      <c r="F256" s="1">
        <v>3767</v>
      </c>
      <c r="G256" s="1">
        <v>514</v>
      </c>
      <c r="H256" s="1">
        <v>238</v>
      </c>
      <c r="I256" s="1">
        <v>37670</v>
      </c>
      <c r="J256" s="1">
        <v>36807</v>
      </c>
      <c r="K256" s="1">
        <v>226</v>
      </c>
      <c r="L256" s="1" t="s">
        <v>162</v>
      </c>
      <c r="M256" s="1" t="s">
        <v>19</v>
      </c>
    </row>
    <row r="257" spans="1:13" ht="14.25" customHeight="1" x14ac:dyDescent="0.3">
      <c r="A257" s="1" t="s">
        <v>488</v>
      </c>
      <c r="B257" s="1" t="s">
        <v>27</v>
      </c>
      <c r="C257" s="1" t="s">
        <v>247</v>
      </c>
      <c r="D257" s="1" t="s">
        <v>42</v>
      </c>
      <c r="E257" s="1" t="s">
        <v>43</v>
      </c>
      <c r="F257" s="1">
        <v>2143</v>
      </c>
      <c r="G257" s="1">
        <v>12</v>
      </c>
      <c r="H257" s="1">
        <v>204</v>
      </c>
      <c r="I257" s="1">
        <v>40717</v>
      </c>
      <c r="J257" s="1">
        <v>40125</v>
      </c>
      <c r="K257" s="1">
        <v>248</v>
      </c>
      <c r="L257" s="1" t="s">
        <v>127</v>
      </c>
      <c r="M257" s="1" t="s">
        <v>55</v>
      </c>
    </row>
    <row r="258" spans="1:13" ht="14.25" customHeight="1" x14ac:dyDescent="0.3">
      <c r="A258" s="1" t="s">
        <v>489</v>
      </c>
      <c r="B258" s="1" t="s">
        <v>40</v>
      </c>
      <c r="C258" s="1" t="s">
        <v>288</v>
      </c>
      <c r="D258" s="1" t="s">
        <v>49</v>
      </c>
      <c r="E258" s="1" t="s">
        <v>50</v>
      </c>
      <c r="F258" s="1">
        <v>3090</v>
      </c>
      <c r="G258" s="1">
        <v>697</v>
      </c>
      <c r="H258" s="1">
        <v>164</v>
      </c>
      <c r="I258" s="1">
        <v>49440</v>
      </c>
      <c r="J258" s="1">
        <v>48524</v>
      </c>
      <c r="K258" s="1">
        <v>25</v>
      </c>
      <c r="L258" s="1" t="s">
        <v>264</v>
      </c>
      <c r="M258" s="1" t="s">
        <v>55</v>
      </c>
    </row>
    <row r="259" spans="1:13" ht="14.25" customHeight="1" x14ac:dyDescent="0.3">
      <c r="A259" s="1" t="s">
        <v>490</v>
      </c>
      <c r="B259" s="1" t="s">
        <v>31</v>
      </c>
      <c r="C259" s="1" t="s">
        <v>491</v>
      </c>
      <c r="D259" s="1" t="s">
        <v>33</v>
      </c>
      <c r="E259" s="1" t="s">
        <v>34</v>
      </c>
      <c r="F259" s="1">
        <v>3601</v>
      </c>
      <c r="G259" s="1">
        <v>695</v>
      </c>
      <c r="H259" s="1">
        <v>75</v>
      </c>
      <c r="I259" s="1">
        <v>21606</v>
      </c>
      <c r="J259" s="1">
        <v>21454</v>
      </c>
      <c r="K259" s="1">
        <v>172</v>
      </c>
      <c r="L259" s="1" t="s">
        <v>58</v>
      </c>
      <c r="M259" s="1" t="s">
        <v>25</v>
      </c>
    </row>
    <row r="260" spans="1:13" ht="14.25" customHeight="1" x14ac:dyDescent="0.3">
      <c r="A260" s="1" t="s">
        <v>492</v>
      </c>
      <c r="B260" s="1" t="s">
        <v>40</v>
      </c>
      <c r="C260" s="1" t="s">
        <v>244</v>
      </c>
      <c r="D260" s="1" t="s">
        <v>22</v>
      </c>
      <c r="E260" s="1" t="s">
        <v>23</v>
      </c>
      <c r="F260" s="1">
        <v>562</v>
      </c>
      <c r="G260" s="1">
        <v>158</v>
      </c>
      <c r="H260" s="1">
        <v>149</v>
      </c>
      <c r="I260" s="1">
        <v>3372</v>
      </c>
      <c r="J260" s="1">
        <v>2940</v>
      </c>
      <c r="K260" s="1">
        <v>93</v>
      </c>
      <c r="L260" s="1" t="s">
        <v>127</v>
      </c>
      <c r="M260" s="1" t="s">
        <v>55</v>
      </c>
    </row>
    <row r="261" spans="1:13" ht="14.25" customHeight="1" x14ac:dyDescent="0.3">
      <c r="A261" s="1" t="s">
        <v>493</v>
      </c>
      <c r="B261" s="1" t="s">
        <v>31</v>
      </c>
      <c r="C261" s="1" t="s">
        <v>494</v>
      </c>
      <c r="D261" s="1" t="s">
        <v>33</v>
      </c>
      <c r="E261" s="1" t="s">
        <v>34</v>
      </c>
      <c r="F261" s="1">
        <v>4332</v>
      </c>
      <c r="G261" s="1">
        <v>771</v>
      </c>
      <c r="H261" s="1">
        <v>219</v>
      </c>
      <c r="I261" s="1">
        <v>60648</v>
      </c>
      <c r="J261" s="1">
        <v>60397</v>
      </c>
      <c r="K261" s="1">
        <v>10</v>
      </c>
      <c r="L261" s="1" t="s">
        <v>24</v>
      </c>
      <c r="M261" s="1" t="s">
        <v>38</v>
      </c>
    </row>
    <row r="262" spans="1:13" ht="14.25" customHeight="1" x14ac:dyDescent="0.3">
      <c r="A262" s="1" t="s">
        <v>495</v>
      </c>
      <c r="B262" s="1" t="s">
        <v>31</v>
      </c>
      <c r="C262" s="1" t="s">
        <v>496</v>
      </c>
      <c r="D262" s="1" t="s">
        <v>49</v>
      </c>
      <c r="E262" s="1" t="s">
        <v>50</v>
      </c>
      <c r="F262" s="1">
        <v>4853</v>
      </c>
      <c r="G262" s="1">
        <v>837</v>
      </c>
      <c r="H262" s="1">
        <v>340</v>
      </c>
      <c r="I262" s="1">
        <v>72795</v>
      </c>
      <c r="J262" s="1">
        <v>72237</v>
      </c>
      <c r="K262" s="1">
        <v>170</v>
      </c>
      <c r="L262" s="1" t="s">
        <v>18</v>
      </c>
      <c r="M262" s="1" t="s">
        <v>25</v>
      </c>
    </row>
    <row r="263" spans="1:13" ht="14.25" customHeight="1" x14ac:dyDescent="0.3">
      <c r="A263" s="1" t="s">
        <v>497</v>
      </c>
      <c r="B263" s="1" t="s">
        <v>27</v>
      </c>
      <c r="C263" s="1" t="s">
        <v>465</v>
      </c>
      <c r="D263" s="1" t="s">
        <v>49</v>
      </c>
      <c r="E263" s="1" t="s">
        <v>50</v>
      </c>
      <c r="F263" s="1">
        <v>1206</v>
      </c>
      <c r="G263" s="1">
        <v>238</v>
      </c>
      <c r="H263" s="1">
        <v>36</v>
      </c>
      <c r="I263" s="1">
        <v>9648</v>
      </c>
      <c r="J263" s="1">
        <v>9417</v>
      </c>
      <c r="K263" s="1">
        <v>237</v>
      </c>
      <c r="L263" s="1" t="s">
        <v>82</v>
      </c>
      <c r="M263" s="1" t="s">
        <v>38</v>
      </c>
    </row>
    <row r="264" spans="1:13" ht="14.25" customHeight="1" x14ac:dyDescent="0.3">
      <c r="A264" s="1" t="s">
        <v>498</v>
      </c>
      <c r="B264" s="1" t="s">
        <v>31</v>
      </c>
      <c r="C264" s="1" t="s">
        <v>499</v>
      </c>
      <c r="D264" s="1" t="s">
        <v>16</v>
      </c>
      <c r="E264" s="1" t="s">
        <v>17</v>
      </c>
      <c r="F264" s="1">
        <v>2603</v>
      </c>
      <c r="G264" s="1">
        <v>690</v>
      </c>
      <c r="H264" s="1">
        <v>205</v>
      </c>
      <c r="I264" s="1">
        <v>13015</v>
      </c>
      <c r="J264" s="1">
        <v>12130</v>
      </c>
      <c r="K264" s="1">
        <v>20</v>
      </c>
      <c r="L264" s="1" t="s">
        <v>44</v>
      </c>
      <c r="M264" s="1" t="s">
        <v>19</v>
      </c>
    </row>
    <row r="265" spans="1:13" ht="14.25" customHeight="1" x14ac:dyDescent="0.3">
      <c r="A265" s="1" t="s">
        <v>500</v>
      </c>
      <c r="B265" s="1" t="s">
        <v>14</v>
      </c>
      <c r="C265" s="1" t="s">
        <v>501</v>
      </c>
      <c r="D265" s="1" t="s">
        <v>49</v>
      </c>
      <c r="E265" s="1" t="s">
        <v>50</v>
      </c>
      <c r="F265" s="1">
        <v>59</v>
      </c>
      <c r="G265" s="1">
        <v>163</v>
      </c>
      <c r="H265" s="1">
        <v>93</v>
      </c>
      <c r="I265" s="1">
        <v>590</v>
      </c>
      <c r="J265" s="1">
        <v>475</v>
      </c>
      <c r="K265" s="1">
        <v>293</v>
      </c>
      <c r="L265" s="1" t="s">
        <v>44</v>
      </c>
      <c r="M265" s="1" t="s">
        <v>55</v>
      </c>
    </row>
    <row r="266" spans="1:13" ht="14.25" customHeight="1" x14ac:dyDescent="0.3">
      <c r="A266" s="1" t="s">
        <v>502</v>
      </c>
      <c r="B266" s="1" t="s">
        <v>14</v>
      </c>
      <c r="C266" s="1" t="s">
        <v>503</v>
      </c>
      <c r="D266" s="1" t="s">
        <v>42</v>
      </c>
      <c r="E266" s="1" t="s">
        <v>43</v>
      </c>
      <c r="F266" s="1">
        <v>1877</v>
      </c>
      <c r="G266" s="1">
        <v>745</v>
      </c>
      <c r="H266" s="1">
        <v>225</v>
      </c>
      <c r="I266" s="1">
        <v>11262</v>
      </c>
      <c r="J266" s="1">
        <v>10967</v>
      </c>
      <c r="K266" s="1">
        <v>41</v>
      </c>
      <c r="L266" s="1" t="s">
        <v>61</v>
      </c>
      <c r="M266" s="1" t="s">
        <v>19</v>
      </c>
    </row>
    <row r="267" spans="1:13" ht="14.25" customHeight="1" x14ac:dyDescent="0.3">
      <c r="A267" s="1" t="s">
        <v>504</v>
      </c>
      <c r="B267" s="1" t="s">
        <v>40</v>
      </c>
      <c r="C267" s="1" t="s">
        <v>126</v>
      </c>
      <c r="D267" s="1" t="s">
        <v>33</v>
      </c>
      <c r="E267" s="1" t="s">
        <v>34</v>
      </c>
      <c r="F267" s="1">
        <v>4182</v>
      </c>
      <c r="G267" s="1">
        <v>640</v>
      </c>
      <c r="H267" s="1">
        <v>240</v>
      </c>
      <c r="I267" s="1">
        <v>50184</v>
      </c>
      <c r="J267" s="1">
        <v>49351</v>
      </c>
      <c r="K267" s="1">
        <v>10</v>
      </c>
      <c r="L267" s="1" t="s">
        <v>82</v>
      </c>
      <c r="M267" s="1" t="s">
        <v>38</v>
      </c>
    </row>
    <row r="268" spans="1:13" ht="14.25" customHeight="1" x14ac:dyDescent="0.3">
      <c r="A268" s="1" t="s">
        <v>505</v>
      </c>
      <c r="B268" s="1" t="s">
        <v>14</v>
      </c>
      <c r="C268" s="1" t="s">
        <v>391</v>
      </c>
      <c r="D268" s="1" t="s">
        <v>16</v>
      </c>
      <c r="E268" s="1" t="s">
        <v>17</v>
      </c>
      <c r="F268" s="1">
        <v>4187</v>
      </c>
      <c r="G268" s="1">
        <v>66</v>
      </c>
      <c r="H268" s="1">
        <v>31</v>
      </c>
      <c r="I268" s="1">
        <v>66992</v>
      </c>
      <c r="J268" s="1">
        <v>66614</v>
      </c>
      <c r="K268" s="1">
        <v>62</v>
      </c>
      <c r="L268" s="1" t="s">
        <v>58</v>
      </c>
      <c r="M268" s="1" t="s">
        <v>55</v>
      </c>
    </row>
    <row r="269" spans="1:13" ht="14.25" customHeight="1" x14ac:dyDescent="0.3">
      <c r="A269" s="1" t="s">
        <v>506</v>
      </c>
      <c r="B269" s="1" t="s">
        <v>31</v>
      </c>
      <c r="C269" s="1" t="s">
        <v>507</v>
      </c>
      <c r="D269" s="1" t="s">
        <v>16</v>
      </c>
      <c r="E269" s="1" t="s">
        <v>17</v>
      </c>
      <c r="F269" s="1">
        <v>4579</v>
      </c>
      <c r="G269" s="1">
        <v>125</v>
      </c>
      <c r="H269" s="1">
        <v>300</v>
      </c>
      <c r="I269" s="1">
        <v>59527</v>
      </c>
      <c r="J269" s="1">
        <v>59400</v>
      </c>
      <c r="K269" s="1">
        <v>269</v>
      </c>
      <c r="L269" s="1" t="s">
        <v>37</v>
      </c>
      <c r="M269" s="1" t="s">
        <v>19</v>
      </c>
    </row>
    <row r="270" spans="1:13" ht="14.25" customHeight="1" x14ac:dyDescent="0.3">
      <c r="A270" s="1" t="s">
        <v>508</v>
      </c>
      <c r="B270" s="1" t="s">
        <v>31</v>
      </c>
      <c r="C270" s="1" t="s">
        <v>509</v>
      </c>
      <c r="D270" s="1" t="s">
        <v>69</v>
      </c>
      <c r="E270" s="1" t="s">
        <v>70</v>
      </c>
      <c r="F270" s="1">
        <v>4561</v>
      </c>
      <c r="G270" s="1">
        <v>51</v>
      </c>
      <c r="H270" s="1">
        <v>441</v>
      </c>
      <c r="I270" s="1">
        <v>22805</v>
      </c>
      <c r="J270" s="1">
        <v>21890</v>
      </c>
      <c r="K270" s="1">
        <v>45</v>
      </c>
      <c r="L270" s="1" t="s">
        <v>58</v>
      </c>
      <c r="M270" s="1" t="s">
        <v>25</v>
      </c>
    </row>
    <row r="271" spans="1:13" ht="14.25" customHeight="1" x14ac:dyDescent="0.3">
      <c r="A271" s="1" t="s">
        <v>510</v>
      </c>
      <c r="B271" s="1" t="s">
        <v>27</v>
      </c>
      <c r="C271" s="1" t="s">
        <v>409</v>
      </c>
      <c r="D271" s="1" t="s">
        <v>16</v>
      </c>
      <c r="E271" s="1" t="s">
        <v>17</v>
      </c>
      <c r="F271" s="1">
        <v>3774</v>
      </c>
      <c r="G271" s="1">
        <v>239</v>
      </c>
      <c r="H271" s="1">
        <v>39</v>
      </c>
      <c r="I271" s="1">
        <v>60384</v>
      </c>
      <c r="J271" s="1">
        <v>59490</v>
      </c>
      <c r="K271" s="1">
        <v>241</v>
      </c>
      <c r="L271" s="1" t="s">
        <v>77</v>
      </c>
      <c r="M271" s="1" t="s">
        <v>38</v>
      </c>
    </row>
    <row r="272" spans="1:13" ht="14.25" customHeight="1" x14ac:dyDescent="0.3">
      <c r="A272" s="1" t="s">
        <v>511</v>
      </c>
      <c r="B272" s="1" t="s">
        <v>31</v>
      </c>
      <c r="C272" s="1" t="s">
        <v>512</v>
      </c>
      <c r="D272" s="1" t="s">
        <v>69</v>
      </c>
      <c r="E272" s="1" t="s">
        <v>70</v>
      </c>
      <c r="F272" s="1">
        <v>3575</v>
      </c>
      <c r="G272" s="1">
        <v>749</v>
      </c>
      <c r="H272" s="1">
        <v>111</v>
      </c>
      <c r="I272" s="1">
        <v>21450</v>
      </c>
      <c r="J272" s="1">
        <v>20785</v>
      </c>
      <c r="K272" s="1">
        <v>195</v>
      </c>
      <c r="L272" s="1" t="s">
        <v>77</v>
      </c>
      <c r="M272" s="1" t="s">
        <v>38</v>
      </c>
    </row>
    <row r="273" spans="1:13" ht="14.25" customHeight="1" x14ac:dyDescent="0.3">
      <c r="A273" s="1" t="s">
        <v>513</v>
      </c>
      <c r="B273" s="1" t="s">
        <v>31</v>
      </c>
      <c r="C273" s="1" t="s">
        <v>481</v>
      </c>
      <c r="D273" s="1" t="s">
        <v>22</v>
      </c>
      <c r="E273" s="1" t="s">
        <v>23</v>
      </c>
      <c r="F273" s="1">
        <v>4941</v>
      </c>
      <c r="G273" s="1">
        <v>414</v>
      </c>
      <c r="H273" s="1">
        <v>266</v>
      </c>
      <c r="I273" s="1">
        <v>39528</v>
      </c>
      <c r="J273" s="1">
        <v>39154</v>
      </c>
      <c r="K273" s="1">
        <v>217</v>
      </c>
      <c r="L273" s="1" t="s">
        <v>18</v>
      </c>
      <c r="M273" s="1" t="s">
        <v>25</v>
      </c>
    </row>
    <row r="274" spans="1:13" ht="14.25" customHeight="1" x14ac:dyDescent="0.3">
      <c r="A274" s="1" t="s">
        <v>514</v>
      </c>
      <c r="B274" s="1" t="s">
        <v>27</v>
      </c>
      <c r="C274" s="1" t="s">
        <v>515</v>
      </c>
      <c r="D274" s="1" t="s">
        <v>33</v>
      </c>
      <c r="E274" s="1" t="s">
        <v>34</v>
      </c>
      <c r="F274" s="1">
        <v>3641</v>
      </c>
      <c r="G274" s="1">
        <v>226</v>
      </c>
      <c r="H274" s="1">
        <v>46</v>
      </c>
      <c r="I274" s="1">
        <v>40051</v>
      </c>
      <c r="J274" s="1">
        <v>39319</v>
      </c>
      <c r="K274" s="1">
        <v>296</v>
      </c>
      <c r="L274" s="1" t="s">
        <v>44</v>
      </c>
      <c r="M274" s="1" t="s">
        <v>25</v>
      </c>
    </row>
    <row r="275" spans="1:13" ht="14.25" customHeight="1" x14ac:dyDescent="0.3">
      <c r="A275" s="1" t="s">
        <v>516</v>
      </c>
      <c r="B275" s="1" t="s">
        <v>14</v>
      </c>
      <c r="C275" s="1" t="s">
        <v>331</v>
      </c>
      <c r="D275" s="1" t="s">
        <v>42</v>
      </c>
      <c r="E275" s="1" t="s">
        <v>43</v>
      </c>
      <c r="F275" s="1">
        <v>3535</v>
      </c>
      <c r="G275" s="1">
        <v>494</v>
      </c>
      <c r="H275" s="1">
        <v>152</v>
      </c>
      <c r="I275" s="1">
        <v>53025</v>
      </c>
      <c r="J275" s="1">
        <v>52791</v>
      </c>
      <c r="K275" s="1">
        <v>44</v>
      </c>
      <c r="L275" s="1" t="s">
        <v>214</v>
      </c>
      <c r="M275" s="1" t="s">
        <v>25</v>
      </c>
    </row>
    <row r="276" spans="1:13" ht="14.25" customHeight="1" x14ac:dyDescent="0.3">
      <c r="A276" s="1" t="s">
        <v>517</v>
      </c>
      <c r="B276" s="1" t="s">
        <v>40</v>
      </c>
      <c r="C276" s="1" t="s">
        <v>491</v>
      </c>
      <c r="D276" s="1" t="s">
        <v>16</v>
      </c>
      <c r="E276" s="1" t="s">
        <v>17</v>
      </c>
      <c r="F276" s="1">
        <v>1741</v>
      </c>
      <c r="G276" s="1">
        <v>831</v>
      </c>
      <c r="H276" s="1">
        <v>345</v>
      </c>
      <c r="I276" s="1">
        <v>17410</v>
      </c>
      <c r="J276" s="1">
        <v>16844</v>
      </c>
      <c r="K276" s="1">
        <v>58</v>
      </c>
      <c r="L276" s="1" t="s">
        <v>71</v>
      </c>
      <c r="M276" s="1" t="s">
        <v>55</v>
      </c>
    </row>
    <row r="277" spans="1:13" ht="14.25" customHeight="1" x14ac:dyDescent="0.3">
      <c r="A277" s="1" t="s">
        <v>518</v>
      </c>
      <c r="B277" s="1" t="s">
        <v>14</v>
      </c>
      <c r="C277" s="1" t="s">
        <v>519</v>
      </c>
      <c r="D277" s="1" t="s">
        <v>42</v>
      </c>
      <c r="E277" s="1" t="s">
        <v>43</v>
      </c>
      <c r="F277" s="1">
        <v>1556</v>
      </c>
      <c r="G277" s="1">
        <v>195</v>
      </c>
      <c r="H277" s="1">
        <v>131</v>
      </c>
      <c r="I277" s="1">
        <v>9336</v>
      </c>
      <c r="J277" s="1">
        <v>8875</v>
      </c>
      <c r="K277" s="1">
        <v>137</v>
      </c>
      <c r="L277" s="1" t="s">
        <v>24</v>
      </c>
      <c r="M277" s="1" t="s">
        <v>25</v>
      </c>
    </row>
    <row r="278" spans="1:13" ht="14.25" customHeight="1" x14ac:dyDescent="0.3">
      <c r="A278" s="1" t="s">
        <v>520</v>
      </c>
      <c r="B278" s="1" t="s">
        <v>40</v>
      </c>
      <c r="C278" s="1" t="s">
        <v>288</v>
      </c>
      <c r="D278" s="1" t="s">
        <v>49</v>
      </c>
      <c r="E278" s="1" t="s">
        <v>50</v>
      </c>
      <c r="F278" s="1">
        <v>4236</v>
      </c>
      <c r="G278" s="1">
        <v>711</v>
      </c>
      <c r="H278" s="1">
        <v>298</v>
      </c>
      <c r="I278" s="1">
        <v>21180</v>
      </c>
      <c r="J278" s="1">
        <v>20516</v>
      </c>
      <c r="K278" s="1">
        <v>238</v>
      </c>
      <c r="L278" s="1" t="s">
        <v>209</v>
      </c>
      <c r="M278" s="1" t="s">
        <v>55</v>
      </c>
    </row>
    <row r="279" spans="1:13" ht="14.25" customHeight="1" x14ac:dyDescent="0.3">
      <c r="A279" s="1" t="s">
        <v>521</v>
      </c>
      <c r="B279" s="1" t="s">
        <v>14</v>
      </c>
      <c r="C279" s="1" t="s">
        <v>522</v>
      </c>
      <c r="D279" s="1" t="s">
        <v>22</v>
      </c>
      <c r="E279" s="1" t="s">
        <v>23</v>
      </c>
      <c r="F279" s="1">
        <v>4516</v>
      </c>
      <c r="G279" s="1">
        <v>836</v>
      </c>
      <c r="H279" s="1">
        <v>169</v>
      </c>
      <c r="I279" s="1">
        <v>49676</v>
      </c>
      <c r="J279" s="1">
        <v>49257</v>
      </c>
      <c r="K279" s="1">
        <v>282</v>
      </c>
      <c r="L279" s="1" t="s">
        <v>44</v>
      </c>
      <c r="M279" s="1" t="s">
        <v>19</v>
      </c>
    </row>
    <row r="280" spans="1:13" ht="14.25" customHeight="1" x14ac:dyDescent="0.3">
      <c r="A280" s="1" t="s">
        <v>523</v>
      </c>
      <c r="B280" s="1" t="s">
        <v>27</v>
      </c>
      <c r="C280" s="1" t="s">
        <v>191</v>
      </c>
      <c r="D280" s="1" t="s">
        <v>49</v>
      </c>
      <c r="E280" s="1" t="s">
        <v>50</v>
      </c>
      <c r="F280" s="1">
        <v>4905</v>
      </c>
      <c r="G280" s="1">
        <v>845</v>
      </c>
      <c r="H280" s="1">
        <v>129</v>
      </c>
      <c r="I280" s="1">
        <v>98100</v>
      </c>
      <c r="J280" s="1">
        <v>97772</v>
      </c>
      <c r="K280" s="1">
        <v>279</v>
      </c>
      <c r="L280" s="1" t="s">
        <v>44</v>
      </c>
      <c r="M280" s="1" t="s">
        <v>55</v>
      </c>
    </row>
    <row r="281" spans="1:13" ht="14.25" customHeight="1" x14ac:dyDescent="0.3">
      <c r="A281" s="1" t="s">
        <v>524</v>
      </c>
      <c r="B281" s="1" t="s">
        <v>27</v>
      </c>
      <c r="C281" s="1" t="s">
        <v>164</v>
      </c>
      <c r="D281" s="1" t="s">
        <v>69</v>
      </c>
      <c r="E281" s="1" t="s">
        <v>70</v>
      </c>
      <c r="F281" s="1">
        <v>4275</v>
      </c>
      <c r="G281" s="1">
        <v>680</v>
      </c>
      <c r="H281" s="1">
        <v>385</v>
      </c>
      <c r="I281" s="1">
        <v>64125</v>
      </c>
      <c r="J281" s="1">
        <v>63650</v>
      </c>
      <c r="K281" s="1">
        <v>104</v>
      </c>
      <c r="L281" s="1" t="s">
        <v>58</v>
      </c>
      <c r="M281" s="1" t="s">
        <v>55</v>
      </c>
    </row>
    <row r="282" spans="1:13" ht="14.25" customHeight="1" x14ac:dyDescent="0.3">
      <c r="A282" s="1" t="s">
        <v>525</v>
      </c>
      <c r="B282" s="1" t="s">
        <v>27</v>
      </c>
      <c r="C282" s="1" t="s">
        <v>526</v>
      </c>
      <c r="D282" s="1" t="s">
        <v>49</v>
      </c>
      <c r="E282" s="1" t="s">
        <v>50</v>
      </c>
      <c r="F282" s="1">
        <v>3166</v>
      </c>
      <c r="G282" s="1">
        <v>90</v>
      </c>
      <c r="H282" s="1">
        <v>341</v>
      </c>
      <c r="I282" s="1">
        <v>56988</v>
      </c>
      <c r="J282" s="1">
        <v>56125</v>
      </c>
      <c r="K282" s="1">
        <v>135</v>
      </c>
      <c r="L282" s="1" t="s">
        <v>146</v>
      </c>
      <c r="M282" s="1" t="s">
        <v>25</v>
      </c>
    </row>
    <row r="283" spans="1:13" ht="14.25" customHeight="1" x14ac:dyDescent="0.3">
      <c r="A283" s="1" t="s">
        <v>527</v>
      </c>
      <c r="B283" s="1" t="s">
        <v>31</v>
      </c>
      <c r="C283" s="1" t="s">
        <v>528</v>
      </c>
      <c r="D283" s="1" t="s">
        <v>69</v>
      </c>
      <c r="E283" s="1" t="s">
        <v>70</v>
      </c>
      <c r="F283" s="1">
        <v>1488</v>
      </c>
      <c r="G283" s="1">
        <v>417</v>
      </c>
      <c r="H283" s="1">
        <v>168</v>
      </c>
      <c r="I283" s="1">
        <v>19344</v>
      </c>
      <c r="J283" s="1">
        <v>18395</v>
      </c>
      <c r="K283" s="1">
        <v>30</v>
      </c>
      <c r="L283" s="1" t="s">
        <v>18</v>
      </c>
      <c r="M283" s="1" t="s">
        <v>19</v>
      </c>
    </row>
    <row r="284" spans="1:13" ht="14.25" customHeight="1" x14ac:dyDescent="0.3">
      <c r="A284" s="1" t="s">
        <v>529</v>
      </c>
      <c r="B284" s="1" t="s">
        <v>14</v>
      </c>
      <c r="C284" s="1" t="s">
        <v>530</v>
      </c>
      <c r="D284" s="1" t="s">
        <v>16</v>
      </c>
      <c r="E284" s="1" t="s">
        <v>17</v>
      </c>
      <c r="F284" s="1">
        <v>3367</v>
      </c>
      <c r="G284" s="1">
        <v>302</v>
      </c>
      <c r="H284" s="1">
        <v>57</v>
      </c>
      <c r="I284" s="1">
        <v>63973</v>
      </c>
      <c r="J284" s="1">
        <v>63789</v>
      </c>
      <c r="K284" s="1">
        <v>157</v>
      </c>
      <c r="L284" s="1" t="s">
        <v>105</v>
      </c>
      <c r="M284" s="1" t="s">
        <v>38</v>
      </c>
    </row>
    <row r="285" spans="1:13" ht="14.25" customHeight="1" x14ac:dyDescent="0.3">
      <c r="A285" s="1" t="s">
        <v>531</v>
      </c>
      <c r="B285" s="1" t="s">
        <v>14</v>
      </c>
      <c r="C285" s="1" t="s">
        <v>99</v>
      </c>
      <c r="D285" s="1" t="s">
        <v>22</v>
      </c>
      <c r="E285" s="1" t="s">
        <v>23</v>
      </c>
      <c r="F285" s="1">
        <v>571</v>
      </c>
      <c r="G285" s="1">
        <v>190</v>
      </c>
      <c r="H285" s="1">
        <v>352</v>
      </c>
      <c r="I285" s="1">
        <v>9707</v>
      </c>
      <c r="J285" s="1">
        <v>9418</v>
      </c>
      <c r="K285" s="1">
        <v>231</v>
      </c>
      <c r="L285" s="1" t="s">
        <v>77</v>
      </c>
      <c r="M285" s="1" t="s">
        <v>25</v>
      </c>
    </row>
    <row r="286" spans="1:13" ht="14.25" customHeight="1" x14ac:dyDescent="0.3">
      <c r="A286" s="1" t="s">
        <v>532</v>
      </c>
      <c r="B286" s="1" t="s">
        <v>27</v>
      </c>
      <c r="C286" s="1" t="s">
        <v>424</v>
      </c>
      <c r="D286" s="1" t="s">
        <v>22</v>
      </c>
      <c r="E286" s="1" t="s">
        <v>23</v>
      </c>
      <c r="F286" s="1">
        <v>4021</v>
      </c>
      <c r="G286" s="1">
        <v>794</v>
      </c>
      <c r="H286" s="1">
        <v>77</v>
      </c>
      <c r="I286" s="1">
        <v>36189</v>
      </c>
      <c r="J286" s="1">
        <v>35505</v>
      </c>
      <c r="K286" s="1">
        <v>174</v>
      </c>
      <c r="L286" s="1" t="s">
        <v>264</v>
      </c>
      <c r="M286" s="1" t="s">
        <v>19</v>
      </c>
    </row>
    <row r="287" spans="1:13" ht="14.25" customHeight="1" x14ac:dyDescent="0.3">
      <c r="A287" s="1" t="s">
        <v>533</v>
      </c>
      <c r="B287" s="1" t="s">
        <v>27</v>
      </c>
      <c r="C287" s="1" t="s">
        <v>534</v>
      </c>
      <c r="D287" s="1" t="s">
        <v>69</v>
      </c>
      <c r="E287" s="1" t="s">
        <v>70</v>
      </c>
      <c r="F287" s="1">
        <v>3389</v>
      </c>
      <c r="G287" s="1">
        <v>344</v>
      </c>
      <c r="H287" s="1">
        <v>229</v>
      </c>
      <c r="I287" s="1">
        <v>20334</v>
      </c>
      <c r="J287" s="1">
        <v>19443</v>
      </c>
      <c r="K287" s="1">
        <v>228</v>
      </c>
      <c r="L287" s="1" t="s">
        <v>29</v>
      </c>
      <c r="M287" s="1" t="s">
        <v>25</v>
      </c>
    </row>
    <row r="288" spans="1:13" ht="14.25" customHeight="1" x14ac:dyDescent="0.3">
      <c r="A288" s="1" t="s">
        <v>535</v>
      </c>
      <c r="B288" s="1" t="s">
        <v>31</v>
      </c>
      <c r="C288" s="1" t="s">
        <v>399</v>
      </c>
      <c r="D288" s="1" t="s">
        <v>16</v>
      </c>
      <c r="E288" s="1" t="s">
        <v>17</v>
      </c>
      <c r="F288" s="1">
        <v>1164</v>
      </c>
      <c r="G288" s="1">
        <v>616</v>
      </c>
      <c r="H288" s="1">
        <v>324</v>
      </c>
      <c r="I288" s="1">
        <v>6984</v>
      </c>
      <c r="J288" s="1">
        <v>6636</v>
      </c>
      <c r="K288" s="1">
        <v>82</v>
      </c>
      <c r="L288" s="1" t="s">
        <v>285</v>
      </c>
      <c r="M288" s="1" t="s">
        <v>38</v>
      </c>
    </row>
    <row r="289" spans="1:13" ht="14.25" customHeight="1" x14ac:dyDescent="0.3">
      <c r="A289" s="1" t="s">
        <v>536</v>
      </c>
      <c r="B289" s="1" t="s">
        <v>27</v>
      </c>
      <c r="C289" s="1" t="s">
        <v>537</v>
      </c>
      <c r="D289" s="1" t="s">
        <v>42</v>
      </c>
      <c r="E289" s="1" t="s">
        <v>43</v>
      </c>
      <c r="F289" s="1">
        <v>4780</v>
      </c>
      <c r="G289" s="1">
        <v>691</v>
      </c>
      <c r="H289" s="1">
        <v>380</v>
      </c>
      <c r="I289" s="1">
        <v>86040</v>
      </c>
      <c r="J289" s="1">
        <v>85743</v>
      </c>
      <c r="K289" s="1">
        <v>262</v>
      </c>
      <c r="L289" s="1" t="s">
        <v>71</v>
      </c>
      <c r="M289" s="1" t="s">
        <v>38</v>
      </c>
    </row>
    <row r="290" spans="1:13" ht="14.25" customHeight="1" x14ac:dyDescent="0.3">
      <c r="A290" s="1" t="s">
        <v>538</v>
      </c>
      <c r="B290" s="1" t="s">
        <v>40</v>
      </c>
      <c r="C290" s="1" t="s">
        <v>304</v>
      </c>
      <c r="D290" s="1" t="s">
        <v>42</v>
      </c>
      <c r="E290" s="1" t="s">
        <v>43</v>
      </c>
      <c r="F290" s="1">
        <v>2751</v>
      </c>
      <c r="G290" s="1">
        <v>33</v>
      </c>
      <c r="H290" s="1">
        <v>430</v>
      </c>
      <c r="I290" s="1">
        <v>44016</v>
      </c>
      <c r="J290" s="1">
        <v>43415</v>
      </c>
      <c r="K290" s="1">
        <v>129</v>
      </c>
      <c r="L290" s="1" t="s">
        <v>214</v>
      </c>
      <c r="M290" s="1" t="s">
        <v>25</v>
      </c>
    </row>
    <row r="291" spans="1:13" ht="14.25" customHeight="1" x14ac:dyDescent="0.3">
      <c r="A291" s="1" t="s">
        <v>539</v>
      </c>
      <c r="B291" s="1" t="s">
        <v>31</v>
      </c>
      <c r="C291" s="1" t="s">
        <v>540</v>
      </c>
      <c r="D291" s="1" t="s">
        <v>42</v>
      </c>
      <c r="E291" s="1" t="s">
        <v>43</v>
      </c>
      <c r="F291" s="1">
        <v>2107</v>
      </c>
      <c r="G291" s="1">
        <v>550</v>
      </c>
      <c r="H291" s="1">
        <v>349</v>
      </c>
      <c r="I291" s="1">
        <v>35819</v>
      </c>
      <c r="J291" s="1">
        <v>35340</v>
      </c>
      <c r="K291" s="1">
        <v>191</v>
      </c>
      <c r="L291" s="1" t="s">
        <v>44</v>
      </c>
      <c r="M291" s="1" t="s">
        <v>38</v>
      </c>
    </row>
    <row r="292" spans="1:13" ht="14.25" customHeight="1" x14ac:dyDescent="0.3">
      <c r="A292" s="1" t="s">
        <v>541</v>
      </c>
      <c r="B292" s="1" t="s">
        <v>40</v>
      </c>
      <c r="C292" s="1" t="s">
        <v>91</v>
      </c>
      <c r="D292" s="1" t="s">
        <v>69</v>
      </c>
      <c r="E292" s="1" t="s">
        <v>70</v>
      </c>
      <c r="F292" s="1">
        <v>4663</v>
      </c>
      <c r="G292" s="1">
        <v>145</v>
      </c>
      <c r="H292" s="1">
        <v>225</v>
      </c>
      <c r="I292" s="1">
        <v>69945</v>
      </c>
      <c r="J292" s="1">
        <v>69596</v>
      </c>
      <c r="K292" s="1">
        <v>35</v>
      </c>
      <c r="L292" s="1" t="s">
        <v>24</v>
      </c>
      <c r="M292" s="1" t="s">
        <v>25</v>
      </c>
    </row>
    <row r="293" spans="1:13" ht="14.25" customHeight="1" x14ac:dyDescent="0.3">
      <c r="A293" s="1" t="s">
        <v>542</v>
      </c>
      <c r="B293" s="1" t="s">
        <v>40</v>
      </c>
      <c r="C293" s="1" t="s">
        <v>543</v>
      </c>
      <c r="D293" s="1" t="s">
        <v>22</v>
      </c>
      <c r="E293" s="1" t="s">
        <v>23</v>
      </c>
      <c r="F293" s="1">
        <v>880</v>
      </c>
      <c r="G293" s="1">
        <v>297</v>
      </c>
      <c r="H293" s="1">
        <v>345</v>
      </c>
      <c r="I293" s="1">
        <v>12320</v>
      </c>
      <c r="J293" s="1">
        <v>11978</v>
      </c>
      <c r="K293" s="1">
        <v>238</v>
      </c>
      <c r="L293" s="1" t="s">
        <v>18</v>
      </c>
      <c r="M293" s="1" t="s">
        <v>25</v>
      </c>
    </row>
    <row r="294" spans="1:13" ht="14.25" customHeight="1" x14ac:dyDescent="0.3">
      <c r="A294" s="1" t="s">
        <v>544</v>
      </c>
      <c r="B294" s="1" t="s">
        <v>40</v>
      </c>
      <c r="C294" s="1" t="s">
        <v>545</v>
      </c>
      <c r="D294" s="1" t="s">
        <v>22</v>
      </c>
      <c r="E294" s="1" t="s">
        <v>23</v>
      </c>
      <c r="F294" s="1">
        <v>2634</v>
      </c>
      <c r="G294" s="1">
        <v>726</v>
      </c>
      <c r="H294" s="1">
        <v>241</v>
      </c>
      <c r="I294" s="1">
        <v>28974</v>
      </c>
      <c r="J294" s="1">
        <v>28102</v>
      </c>
      <c r="K294" s="1">
        <v>277</v>
      </c>
      <c r="L294" s="1" t="s">
        <v>58</v>
      </c>
      <c r="M294" s="1" t="s">
        <v>38</v>
      </c>
    </row>
    <row r="295" spans="1:13" ht="14.25" customHeight="1" x14ac:dyDescent="0.3">
      <c r="A295" s="1" t="s">
        <v>546</v>
      </c>
      <c r="B295" s="1" t="s">
        <v>40</v>
      </c>
      <c r="C295" s="1" t="s">
        <v>547</v>
      </c>
      <c r="D295" s="1" t="s">
        <v>42</v>
      </c>
      <c r="E295" s="1" t="s">
        <v>43</v>
      </c>
      <c r="F295" s="1">
        <v>4731</v>
      </c>
      <c r="G295" s="1">
        <v>173</v>
      </c>
      <c r="H295" s="1">
        <v>276</v>
      </c>
      <c r="I295" s="1">
        <v>28386</v>
      </c>
      <c r="J295" s="1">
        <v>28185</v>
      </c>
      <c r="K295" s="1">
        <v>89</v>
      </c>
      <c r="L295" s="1" t="s">
        <v>105</v>
      </c>
      <c r="M295" s="1" t="s">
        <v>55</v>
      </c>
    </row>
    <row r="296" spans="1:13" ht="14.25" customHeight="1" x14ac:dyDescent="0.3">
      <c r="A296" s="1" t="s">
        <v>548</v>
      </c>
      <c r="B296" s="1" t="s">
        <v>14</v>
      </c>
      <c r="C296" s="1" t="s">
        <v>430</v>
      </c>
      <c r="D296" s="1" t="s">
        <v>49</v>
      </c>
      <c r="E296" s="1" t="s">
        <v>50</v>
      </c>
      <c r="F296" s="1">
        <v>1952</v>
      </c>
      <c r="G296" s="1">
        <v>344</v>
      </c>
      <c r="H296" s="1">
        <v>287</v>
      </c>
      <c r="I296" s="1">
        <v>15616</v>
      </c>
      <c r="J296" s="1">
        <v>15403</v>
      </c>
      <c r="K296" s="1">
        <v>235</v>
      </c>
      <c r="L296" s="1" t="s">
        <v>66</v>
      </c>
      <c r="M296" s="1" t="s">
        <v>38</v>
      </c>
    </row>
    <row r="297" spans="1:13" ht="14.25" customHeight="1" x14ac:dyDescent="0.3">
      <c r="A297" s="1" t="s">
        <v>549</v>
      </c>
      <c r="B297" s="1" t="s">
        <v>14</v>
      </c>
      <c r="C297" s="1" t="s">
        <v>550</v>
      </c>
      <c r="D297" s="1" t="s">
        <v>69</v>
      </c>
      <c r="E297" s="1" t="s">
        <v>70</v>
      </c>
      <c r="F297" s="1">
        <v>3440</v>
      </c>
      <c r="G297" s="1">
        <v>13</v>
      </c>
      <c r="H297" s="1">
        <v>20</v>
      </c>
      <c r="I297" s="1">
        <v>58480</v>
      </c>
      <c r="J297" s="1">
        <v>58146</v>
      </c>
      <c r="K297" s="1">
        <v>210</v>
      </c>
      <c r="L297" s="1" t="s">
        <v>71</v>
      </c>
      <c r="M297" s="1" t="s">
        <v>19</v>
      </c>
    </row>
    <row r="298" spans="1:13" ht="14.25" customHeight="1" x14ac:dyDescent="0.3">
      <c r="A298" s="1" t="s">
        <v>551</v>
      </c>
      <c r="B298" s="1" t="s">
        <v>14</v>
      </c>
      <c r="C298" s="1" t="s">
        <v>552</v>
      </c>
      <c r="D298" s="1" t="s">
        <v>22</v>
      </c>
      <c r="E298" s="1" t="s">
        <v>23</v>
      </c>
      <c r="F298" s="1">
        <v>2166</v>
      </c>
      <c r="G298" s="1">
        <v>354</v>
      </c>
      <c r="H298" s="1">
        <v>117</v>
      </c>
      <c r="I298" s="1">
        <v>10830</v>
      </c>
      <c r="J298" s="1">
        <v>10245</v>
      </c>
      <c r="K298" s="1">
        <v>24</v>
      </c>
      <c r="L298" s="1" t="s">
        <v>87</v>
      </c>
      <c r="M298" s="1" t="s">
        <v>19</v>
      </c>
    </row>
    <row r="299" spans="1:13" ht="14.25" customHeight="1" x14ac:dyDescent="0.3">
      <c r="A299" s="1" t="s">
        <v>553</v>
      </c>
      <c r="B299" s="1" t="s">
        <v>40</v>
      </c>
      <c r="C299" s="1" t="s">
        <v>68</v>
      </c>
      <c r="D299" s="1" t="s">
        <v>49</v>
      </c>
      <c r="E299" s="1" t="s">
        <v>50</v>
      </c>
      <c r="F299" s="1">
        <v>4303</v>
      </c>
      <c r="G299" s="1">
        <v>451</v>
      </c>
      <c r="H299" s="1">
        <v>286</v>
      </c>
      <c r="I299" s="1">
        <v>86060</v>
      </c>
      <c r="J299" s="1">
        <v>85823</v>
      </c>
      <c r="K299" s="1">
        <v>14</v>
      </c>
      <c r="L299" s="1" t="s">
        <v>18</v>
      </c>
      <c r="M299" s="1" t="s">
        <v>25</v>
      </c>
    </row>
    <row r="300" spans="1:13" ht="14.25" customHeight="1" x14ac:dyDescent="0.3">
      <c r="A300" s="1" t="s">
        <v>554</v>
      </c>
      <c r="B300" s="1" t="s">
        <v>40</v>
      </c>
      <c r="C300" s="1" t="s">
        <v>73</v>
      </c>
      <c r="D300" s="1" t="s">
        <v>49</v>
      </c>
      <c r="E300" s="1" t="s">
        <v>50</v>
      </c>
      <c r="F300" s="1">
        <v>2581</v>
      </c>
      <c r="G300" s="1">
        <v>517</v>
      </c>
      <c r="H300" s="1">
        <v>117</v>
      </c>
      <c r="I300" s="1">
        <v>23229</v>
      </c>
      <c r="J300" s="1">
        <v>22331</v>
      </c>
      <c r="K300" s="1">
        <v>70</v>
      </c>
      <c r="L300" s="1" t="s">
        <v>82</v>
      </c>
      <c r="M300" s="1" t="s">
        <v>25</v>
      </c>
    </row>
    <row r="301" spans="1:13" ht="14.25" customHeight="1" x14ac:dyDescent="0.3">
      <c r="A301" s="1" t="s">
        <v>555</v>
      </c>
      <c r="B301" s="1" t="s">
        <v>14</v>
      </c>
      <c r="C301" s="1" t="s">
        <v>314</v>
      </c>
      <c r="D301" s="1" t="s">
        <v>42</v>
      </c>
      <c r="E301" s="1" t="s">
        <v>43</v>
      </c>
      <c r="F301" s="1">
        <v>4494</v>
      </c>
      <c r="G301" s="1">
        <v>717</v>
      </c>
      <c r="H301" s="1">
        <v>45</v>
      </c>
      <c r="I301" s="1">
        <v>62916</v>
      </c>
      <c r="J301" s="1">
        <v>62688</v>
      </c>
      <c r="K301" s="1">
        <v>191</v>
      </c>
      <c r="L301" s="1" t="s">
        <v>24</v>
      </c>
      <c r="M301" s="1" t="s">
        <v>19</v>
      </c>
    </row>
    <row r="302" spans="1:13" ht="14.25" customHeight="1" x14ac:dyDescent="0.3"/>
    <row r="303" spans="1:13" ht="14.25" customHeight="1" x14ac:dyDescent="0.3"/>
    <row r="304" spans="1:13"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4.44140625" defaultRowHeight="15" customHeight="1" x14ac:dyDescent="0.3"/>
  <cols>
    <col min="1" max="1" width="19.88671875" customWidth="1"/>
    <col min="2" max="2" width="13.44140625" customWidth="1"/>
    <col min="3" max="5" width="8.6640625" customWidth="1"/>
    <col min="6" max="6" width="15.88671875" bestFit="1" customWidth="1"/>
    <col min="7" max="26" width="8.6640625" customWidth="1"/>
  </cols>
  <sheetData>
    <row r="1" spans="1:7" ht="14.25" customHeight="1" x14ac:dyDescent="0.3">
      <c r="A1" s="1" t="s">
        <v>556</v>
      </c>
      <c r="B1" s="1" t="s">
        <v>1</v>
      </c>
      <c r="C1" s="1" t="s">
        <v>557</v>
      </c>
      <c r="D1" s="1" t="s">
        <v>558</v>
      </c>
      <c r="E1" s="1" t="s">
        <v>559</v>
      </c>
      <c r="F1" s="1" t="s">
        <v>560</v>
      </c>
      <c r="G1" s="1" t="s">
        <v>561</v>
      </c>
    </row>
    <row r="2" spans="1:7" ht="14.25" customHeight="1" x14ac:dyDescent="0.3">
      <c r="A2" s="2">
        <v>45446</v>
      </c>
      <c r="B2" s="1" t="s">
        <v>31</v>
      </c>
      <c r="C2" s="1">
        <v>1135</v>
      </c>
      <c r="D2" s="1">
        <v>88</v>
      </c>
      <c r="E2" s="1">
        <v>344084</v>
      </c>
      <c r="F2" s="1">
        <v>8.06</v>
      </c>
      <c r="G2" s="1">
        <v>5904</v>
      </c>
    </row>
    <row r="3" spans="1:7" ht="14.25" customHeight="1" x14ac:dyDescent="0.3">
      <c r="A3" s="2">
        <v>45446</v>
      </c>
      <c r="B3" s="1" t="s">
        <v>40</v>
      </c>
      <c r="C3" s="1">
        <v>1312</v>
      </c>
      <c r="D3" s="1">
        <v>310</v>
      </c>
      <c r="E3" s="1">
        <v>42654</v>
      </c>
      <c r="F3" s="1">
        <v>4.9800000000000004</v>
      </c>
      <c r="G3" s="1">
        <v>9566</v>
      </c>
    </row>
    <row r="4" spans="1:7" ht="14.25" customHeight="1" x14ac:dyDescent="0.3">
      <c r="A4" s="2">
        <v>45446</v>
      </c>
      <c r="B4" s="1" t="s">
        <v>14</v>
      </c>
      <c r="C4" s="1">
        <v>584</v>
      </c>
      <c r="D4" s="1">
        <v>169</v>
      </c>
      <c r="E4" s="1">
        <v>146834</v>
      </c>
      <c r="F4" s="1">
        <v>8.31</v>
      </c>
      <c r="G4" s="1">
        <v>26752</v>
      </c>
    </row>
    <row r="5" spans="1:7" ht="14.25" customHeight="1" x14ac:dyDescent="0.3">
      <c r="A5" s="2">
        <v>45446</v>
      </c>
      <c r="B5" s="1" t="s">
        <v>27</v>
      </c>
      <c r="C5" s="1">
        <v>1535</v>
      </c>
      <c r="D5" s="1">
        <v>445</v>
      </c>
      <c r="E5" s="1">
        <v>395536</v>
      </c>
      <c r="F5" s="1">
        <v>4.1100000000000003</v>
      </c>
      <c r="G5" s="1">
        <v>30671</v>
      </c>
    </row>
    <row r="6" spans="1:7" ht="14.25" customHeight="1" x14ac:dyDescent="0.3">
      <c r="A6" s="2">
        <v>45453</v>
      </c>
      <c r="B6" s="1" t="s">
        <v>31</v>
      </c>
      <c r="C6" s="1">
        <v>656</v>
      </c>
      <c r="D6" s="1">
        <v>139</v>
      </c>
      <c r="E6" s="1">
        <v>49157</v>
      </c>
      <c r="F6" s="1">
        <v>9.0500000000000007</v>
      </c>
      <c r="G6" s="1">
        <v>9920</v>
      </c>
    </row>
    <row r="7" spans="1:7" ht="14.25" customHeight="1" x14ac:dyDescent="0.3">
      <c r="A7" s="2">
        <v>45453</v>
      </c>
      <c r="B7" s="1" t="s">
        <v>40</v>
      </c>
      <c r="C7" s="1">
        <v>1697</v>
      </c>
      <c r="D7" s="1">
        <v>414</v>
      </c>
      <c r="E7" s="1">
        <v>316555</v>
      </c>
      <c r="F7" s="1">
        <v>2.37</v>
      </c>
      <c r="G7" s="1">
        <v>7924</v>
      </c>
    </row>
    <row r="8" spans="1:7" ht="14.25" customHeight="1" x14ac:dyDescent="0.3">
      <c r="A8" s="2">
        <v>45453</v>
      </c>
      <c r="B8" s="1" t="s">
        <v>14</v>
      </c>
      <c r="C8" s="1">
        <v>436</v>
      </c>
      <c r="D8" s="1">
        <v>250</v>
      </c>
      <c r="E8" s="1">
        <v>254347</v>
      </c>
      <c r="F8" s="1">
        <v>4.01</v>
      </c>
      <c r="G8" s="1">
        <v>8912</v>
      </c>
    </row>
    <row r="9" spans="1:7" ht="14.25" customHeight="1" x14ac:dyDescent="0.3">
      <c r="A9" s="2">
        <v>45453</v>
      </c>
      <c r="B9" s="1" t="s">
        <v>27</v>
      </c>
      <c r="C9" s="1">
        <v>1197</v>
      </c>
      <c r="D9" s="1">
        <v>203</v>
      </c>
      <c r="E9" s="1">
        <v>413878</v>
      </c>
      <c r="F9" s="1">
        <v>3.16</v>
      </c>
      <c r="G9" s="1">
        <v>21205</v>
      </c>
    </row>
    <row r="10" spans="1:7" ht="14.25" customHeight="1" x14ac:dyDescent="0.3">
      <c r="A10" s="2">
        <v>45460</v>
      </c>
      <c r="B10" s="1" t="s">
        <v>31</v>
      </c>
      <c r="C10" s="1">
        <v>1048</v>
      </c>
      <c r="D10" s="1">
        <v>155</v>
      </c>
      <c r="E10" s="1">
        <v>456946</v>
      </c>
      <c r="F10" s="1">
        <v>2.46</v>
      </c>
      <c r="G10" s="1">
        <v>11329</v>
      </c>
    </row>
    <row r="11" spans="1:7" ht="14.25" customHeight="1" x14ac:dyDescent="0.3">
      <c r="A11" s="2">
        <v>45460</v>
      </c>
      <c r="B11" s="1" t="s">
        <v>40</v>
      </c>
      <c r="C11" s="1">
        <v>1753</v>
      </c>
      <c r="D11" s="1">
        <v>371</v>
      </c>
      <c r="E11" s="1">
        <v>169496</v>
      </c>
      <c r="F11" s="1">
        <v>8.11</v>
      </c>
      <c r="G11" s="1">
        <v>46670</v>
      </c>
    </row>
    <row r="12" spans="1:7" ht="14.25" customHeight="1" x14ac:dyDescent="0.3">
      <c r="A12" s="2">
        <v>45460</v>
      </c>
      <c r="B12" s="1" t="s">
        <v>14</v>
      </c>
      <c r="C12" s="1">
        <v>1335</v>
      </c>
      <c r="D12" s="1">
        <v>40</v>
      </c>
      <c r="E12" s="1">
        <v>122732</v>
      </c>
      <c r="F12" s="1">
        <v>8.19</v>
      </c>
      <c r="G12" s="1">
        <v>22482</v>
      </c>
    </row>
    <row r="13" spans="1:7" ht="14.25" customHeight="1" x14ac:dyDescent="0.3">
      <c r="A13" s="2">
        <v>45460</v>
      </c>
      <c r="B13" s="1" t="s">
        <v>27</v>
      </c>
      <c r="C13" s="1">
        <v>403</v>
      </c>
      <c r="D13" s="1">
        <v>66</v>
      </c>
      <c r="E13" s="1">
        <v>382851</v>
      </c>
      <c r="F13" s="1">
        <v>3.49</v>
      </c>
      <c r="G13" s="1">
        <v>24313</v>
      </c>
    </row>
    <row r="14" spans="1:7" ht="14.25" customHeight="1" x14ac:dyDescent="0.3">
      <c r="A14" s="2">
        <v>45467</v>
      </c>
      <c r="B14" s="1" t="s">
        <v>31</v>
      </c>
      <c r="C14" s="1">
        <v>911</v>
      </c>
      <c r="D14" s="1">
        <v>282</v>
      </c>
      <c r="E14" s="1">
        <v>35664</v>
      </c>
      <c r="F14" s="1">
        <v>6.92</v>
      </c>
      <c r="G14" s="1">
        <v>18050</v>
      </c>
    </row>
    <row r="15" spans="1:7" ht="14.25" customHeight="1" x14ac:dyDescent="0.3">
      <c r="A15" s="2">
        <v>45467</v>
      </c>
      <c r="B15" s="1" t="s">
        <v>40</v>
      </c>
      <c r="C15" s="1">
        <v>1779</v>
      </c>
      <c r="D15" s="1">
        <v>109</v>
      </c>
      <c r="E15" s="1">
        <v>26295</v>
      </c>
      <c r="F15" s="1">
        <v>9.1199999999999992</v>
      </c>
      <c r="G15" s="1">
        <v>30635</v>
      </c>
    </row>
    <row r="16" spans="1:7" ht="14.25" customHeight="1" x14ac:dyDescent="0.3">
      <c r="A16" s="2">
        <v>45467</v>
      </c>
      <c r="B16" s="1" t="s">
        <v>14</v>
      </c>
      <c r="C16" s="1">
        <v>1238</v>
      </c>
      <c r="D16" s="1">
        <v>403</v>
      </c>
      <c r="E16" s="1">
        <v>298421</v>
      </c>
      <c r="F16" s="1">
        <v>3.5</v>
      </c>
      <c r="G16" s="1">
        <v>31280</v>
      </c>
    </row>
    <row r="17" spans="1:7" ht="14.25" customHeight="1" x14ac:dyDescent="0.3">
      <c r="A17" s="2">
        <v>45467</v>
      </c>
      <c r="B17" s="1" t="s">
        <v>27</v>
      </c>
      <c r="C17" s="1">
        <v>308</v>
      </c>
      <c r="D17" s="1">
        <v>431</v>
      </c>
      <c r="E17" s="1">
        <v>426184</v>
      </c>
      <c r="F17" s="1">
        <v>2.62</v>
      </c>
      <c r="G17" s="1">
        <v>1783</v>
      </c>
    </row>
    <row r="18" spans="1:7" ht="14.25" customHeight="1" x14ac:dyDescent="0.3">
      <c r="A18" s="2">
        <v>45474</v>
      </c>
      <c r="B18" s="1" t="s">
        <v>31</v>
      </c>
      <c r="C18" s="1">
        <v>226</v>
      </c>
      <c r="D18" s="1">
        <v>445</v>
      </c>
      <c r="E18" s="1">
        <v>419447</v>
      </c>
      <c r="F18" s="1">
        <v>9.36</v>
      </c>
      <c r="G18" s="1">
        <v>9566</v>
      </c>
    </row>
    <row r="19" spans="1:7" ht="14.25" customHeight="1" x14ac:dyDescent="0.3">
      <c r="A19" s="2">
        <v>45474</v>
      </c>
      <c r="B19" s="1" t="s">
        <v>40</v>
      </c>
      <c r="C19" s="1">
        <v>505</v>
      </c>
      <c r="D19" s="1">
        <v>441</v>
      </c>
      <c r="E19" s="1">
        <v>220020</v>
      </c>
      <c r="F19" s="1">
        <v>4.4800000000000004</v>
      </c>
      <c r="G19" s="1">
        <v>42307</v>
      </c>
    </row>
    <row r="20" spans="1:7" ht="14.25" customHeight="1" x14ac:dyDescent="0.3">
      <c r="A20" s="2">
        <v>45474</v>
      </c>
      <c r="B20" s="1" t="s">
        <v>14</v>
      </c>
      <c r="C20" s="1">
        <v>1420</v>
      </c>
      <c r="D20" s="1">
        <v>63</v>
      </c>
      <c r="E20" s="1">
        <v>315305</v>
      </c>
      <c r="F20" s="1">
        <v>6.19</v>
      </c>
      <c r="G20" s="1">
        <v>5914</v>
      </c>
    </row>
    <row r="21" spans="1:7" ht="14.25" customHeight="1" x14ac:dyDescent="0.3">
      <c r="A21" s="2">
        <v>45474</v>
      </c>
      <c r="B21" s="1" t="s">
        <v>27</v>
      </c>
      <c r="C21" s="1">
        <v>144</v>
      </c>
      <c r="D21" s="1">
        <v>53</v>
      </c>
      <c r="E21" s="1">
        <v>113678</v>
      </c>
      <c r="F21" s="1">
        <v>8.7200000000000006</v>
      </c>
      <c r="G21" s="1">
        <v>30060</v>
      </c>
    </row>
    <row r="22" spans="1:7" ht="14.25" customHeight="1" x14ac:dyDescent="0.3">
      <c r="A22" s="2">
        <v>45481</v>
      </c>
      <c r="B22" s="1" t="s">
        <v>31</v>
      </c>
      <c r="C22" s="1">
        <v>1757</v>
      </c>
      <c r="D22" s="1">
        <v>85</v>
      </c>
      <c r="E22" s="1">
        <v>58223</v>
      </c>
      <c r="F22" s="1">
        <v>8.74</v>
      </c>
      <c r="G22" s="1">
        <v>22728</v>
      </c>
    </row>
    <row r="23" spans="1:7" ht="14.25" customHeight="1" x14ac:dyDescent="0.3">
      <c r="A23" s="2">
        <v>45481</v>
      </c>
      <c r="B23" s="1" t="s">
        <v>40</v>
      </c>
      <c r="C23" s="1">
        <v>350</v>
      </c>
      <c r="D23" s="1">
        <v>41</v>
      </c>
      <c r="E23" s="1">
        <v>251694</v>
      </c>
      <c r="F23" s="1">
        <v>1.91</v>
      </c>
      <c r="G23" s="1">
        <v>38610</v>
      </c>
    </row>
    <row r="24" spans="1:7" ht="14.25" customHeight="1" x14ac:dyDescent="0.3">
      <c r="A24" s="2">
        <v>45481</v>
      </c>
      <c r="B24" s="1" t="s">
        <v>14</v>
      </c>
      <c r="C24" s="1">
        <v>987</v>
      </c>
      <c r="D24" s="1">
        <v>440</v>
      </c>
      <c r="E24" s="1">
        <v>389810</v>
      </c>
      <c r="F24" s="1">
        <v>4.66</v>
      </c>
      <c r="G24" s="1">
        <v>2932</v>
      </c>
    </row>
    <row r="25" spans="1:7" ht="14.25" customHeight="1" x14ac:dyDescent="0.3">
      <c r="A25" s="2">
        <v>45481</v>
      </c>
      <c r="B25" s="1" t="s">
        <v>27</v>
      </c>
      <c r="C25" s="1">
        <v>883</v>
      </c>
      <c r="D25" s="1">
        <v>369</v>
      </c>
      <c r="E25" s="1">
        <v>233694</v>
      </c>
      <c r="F25" s="1">
        <v>2.88</v>
      </c>
      <c r="G25" s="1">
        <v>15071</v>
      </c>
    </row>
    <row r="26" spans="1:7" ht="14.25" customHeight="1" x14ac:dyDescent="0.3">
      <c r="A26" s="2">
        <v>45488</v>
      </c>
      <c r="B26" s="1" t="s">
        <v>31</v>
      </c>
      <c r="C26" s="1">
        <v>1960</v>
      </c>
      <c r="D26" s="1">
        <v>115</v>
      </c>
      <c r="E26" s="1">
        <v>154169</v>
      </c>
      <c r="F26" s="1">
        <v>3.74</v>
      </c>
      <c r="G26" s="1">
        <v>10740</v>
      </c>
    </row>
    <row r="27" spans="1:7" ht="14.25" customHeight="1" x14ac:dyDescent="0.3">
      <c r="A27" s="2">
        <v>45488</v>
      </c>
      <c r="B27" s="1" t="s">
        <v>40</v>
      </c>
      <c r="C27" s="1">
        <v>170</v>
      </c>
      <c r="D27" s="1">
        <v>334</v>
      </c>
      <c r="E27" s="1">
        <v>334626</v>
      </c>
      <c r="F27" s="1">
        <v>6.44</v>
      </c>
      <c r="G27" s="1">
        <v>43420</v>
      </c>
    </row>
    <row r="28" spans="1:7" ht="14.25" customHeight="1" x14ac:dyDescent="0.3">
      <c r="A28" s="2">
        <v>45488</v>
      </c>
      <c r="B28" s="1" t="s">
        <v>14</v>
      </c>
      <c r="C28" s="1">
        <v>704</v>
      </c>
      <c r="D28" s="1">
        <v>275</v>
      </c>
      <c r="E28" s="1">
        <v>226002</v>
      </c>
      <c r="F28" s="1">
        <v>8.56</v>
      </c>
      <c r="G28" s="1">
        <v>32393</v>
      </c>
    </row>
    <row r="29" spans="1:7" ht="14.25" customHeight="1" x14ac:dyDescent="0.3">
      <c r="A29" s="2">
        <v>45488</v>
      </c>
      <c r="B29" s="1" t="s">
        <v>27</v>
      </c>
      <c r="C29" s="1">
        <v>224</v>
      </c>
      <c r="D29" s="1">
        <v>64</v>
      </c>
      <c r="E29" s="1">
        <v>156683</v>
      </c>
      <c r="F29" s="1">
        <v>4.5599999999999996</v>
      </c>
      <c r="G29" s="1">
        <v>28474</v>
      </c>
    </row>
    <row r="30" spans="1:7" ht="14.25" customHeight="1" x14ac:dyDescent="0.3">
      <c r="A30" s="2">
        <v>45495</v>
      </c>
      <c r="B30" s="1" t="s">
        <v>31</v>
      </c>
      <c r="C30" s="1">
        <v>508</v>
      </c>
      <c r="D30" s="1">
        <v>349</v>
      </c>
      <c r="E30" s="1">
        <v>473812</v>
      </c>
      <c r="F30" s="1">
        <v>7.88</v>
      </c>
      <c r="G30" s="1">
        <v>17328</v>
      </c>
    </row>
    <row r="31" spans="1:7" ht="14.25" customHeight="1" x14ac:dyDescent="0.3">
      <c r="A31" s="2">
        <v>45495</v>
      </c>
      <c r="B31" s="1" t="s">
        <v>40</v>
      </c>
      <c r="C31" s="1">
        <v>1391</v>
      </c>
      <c r="D31" s="1">
        <v>430</v>
      </c>
      <c r="E31" s="1">
        <v>295032</v>
      </c>
      <c r="F31" s="1">
        <v>7.86</v>
      </c>
      <c r="G31" s="1">
        <v>26067</v>
      </c>
    </row>
    <row r="32" spans="1:7" ht="14.25" customHeight="1" x14ac:dyDescent="0.3">
      <c r="A32" s="2">
        <v>45495</v>
      </c>
      <c r="B32" s="1" t="s">
        <v>14</v>
      </c>
      <c r="C32" s="1">
        <v>1701</v>
      </c>
      <c r="D32" s="1">
        <v>385</v>
      </c>
      <c r="E32" s="1">
        <v>198278</v>
      </c>
      <c r="F32" s="1">
        <v>5.34</v>
      </c>
      <c r="G32" s="1">
        <v>32763</v>
      </c>
    </row>
    <row r="33" spans="1:7" ht="14.25" customHeight="1" x14ac:dyDescent="0.3">
      <c r="A33" s="2">
        <v>45495</v>
      </c>
      <c r="B33" s="1" t="s">
        <v>27</v>
      </c>
      <c r="C33" s="1">
        <v>804</v>
      </c>
      <c r="D33" s="1">
        <v>487</v>
      </c>
      <c r="E33" s="1">
        <v>306564</v>
      </c>
      <c r="F33" s="1">
        <v>5.52</v>
      </c>
      <c r="G33" s="1">
        <v>26452</v>
      </c>
    </row>
    <row r="34" spans="1:7" ht="14.25" customHeight="1" x14ac:dyDescent="0.3">
      <c r="A34" s="2">
        <v>45502</v>
      </c>
      <c r="B34" s="1" t="s">
        <v>31</v>
      </c>
      <c r="C34" s="1">
        <v>653</v>
      </c>
      <c r="D34" s="1">
        <v>112</v>
      </c>
      <c r="E34" s="1">
        <v>23664</v>
      </c>
      <c r="F34" s="1">
        <v>4.05</v>
      </c>
      <c r="G34" s="1">
        <v>15353</v>
      </c>
    </row>
    <row r="35" spans="1:7" ht="14.25" customHeight="1" x14ac:dyDescent="0.3">
      <c r="A35" s="2">
        <v>45502</v>
      </c>
      <c r="B35" s="1" t="s">
        <v>40</v>
      </c>
      <c r="C35" s="1">
        <v>160</v>
      </c>
      <c r="D35" s="1">
        <v>478</v>
      </c>
      <c r="E35" s="1">
        <v>435034</v>
      </c>
      <c r="F35" s="1">
        <v>7.73</v>
      </c>
      <c r="G35" s="1">
        <v>4839</v>
      </c>
    </row>
    <row r="36" spans="1:7" ht="14.25" customHeight="1" x14ac:dyDescent="0.3">
      <c r="A36" s="2">
        <v>45502</v>
      </c>
      <c r="B36" s="1" t="s">
        <v>14</v>
      </c>
      <c r="C36" s="1">
        <v>1756</v>
      </c>
      <c r="D36" s="1">
        <v>261</v>
      </c>
      <c r="E36" s="1">
        <v>287574</v>
      </c>
      <c r="F36" s="1">
        <v>4.3600000000000003</v>
      </c>
      <c r="G36" s="1">
        <v>39272</v>
      </c>
    </row>
    <row r="37" spans="1:7" ht="14.25" customHeight="1" x14ac:dyDescent="0.3">
      <c r="A37" s="2">
        <v>45502</v>
      </c>
      <c r="B37" s="1" t="s">
        <v>27</v>
      </c>
      <c r="C37" s="1">
        <v>576</v>
      </c>
      <c r="D37" s="1">
        <v>101</v>
      </c>
      <c r="E37" s="1">
        <v>62499</v>
      </c>
      <c r="F37" s="1">
        <v>3.48</v>
      </c>
      <c r="G37" s="1">
        <v>16804</v>
      </c>
    </row>
    <row r="38" spans="1:7" ht="14.25" customHeight="1" x14ac:dyDescent="0.3">
      <c r="A38" s="2">
        <v>45509</v>
      </c>
      <c r="B38" s="1" t="s">
        <v>31</v>
      </c>
      <c r="C38" s="1">
        <v>645</v>
      </c>
      <c r="D38" s="1">
        <v>293</v>
      </c>
      <c r="E38" s="1">
        <v>437968</v>
      </c>
      <c r="F38" s="1">
        <v>7.83</v>
      </c>
      <c r="G38" s="1">
        <v>49303</v>
      </c>
    </row>
    <row r="39" spans="1:7" ht="14.25" customHeight="1" x14ac:dyDescent="0.3">
      <c r="A39" s="2">
        <v>45509</v>
      </c>
      <c r="B39" s="1" t="s">
        <v>40</v>
      </c>
      <c r="C39" s="1">
        <v>214</v>
      </c>
      <c r="D39" s="1">
        <v>411</v>
      </c>
      <c r="E39" s="1">
        <v>125034</v>
      </c>
      <c r="F39" s="1">
        <v>6.11</v>
      </c>
      <c r="G39" s="1">
        <v>26455</v>
      </c>
    </row>
    <row r="40" spans="1:7" ht="14.25" customHeight="1" x14ac:dyDescent="0.3">
      <c r="A40" s="2">
        <v>45509</v>
      </c>
      <c r="B40" s="1" t="s">
        <v>14</v>
      </c>
      <c r="C40" s="1">
        <v>826</v>
      </c>
      <c r="D40" s="1">
        <v>498</v>
      </c>
      <c r="E40" s="1">
        <v>449994</v>
      </c>
      <c r="F40" s="1">
        <v>9.43</v>
      </c>
      <c r="G40" s="1">
        <v>12384</v>
      </c>
    </row>
    <row r="41" spans="1:7" ht="14.25" customHeight="1" x14ac:dyDescent="0.3">
      <c r="A41" s="2">
        <v>45509</v>
      </c>
      <c r="B41" s="1" t="s">
        <v>27</v>
      </c>
      <c r="C41" s="1">
        <v>460</v>
      </c>
      <c r="D41" s="1">
        <v>141</v>
      </c>
      <c r="E41" s="1">
        <v>320650</v>
      </c>
      <c r="F41" s="1">
        <v>4.04</v>
      </c>
      <c r="G41" s="1">
        <v>49372</v>
      </c>
    </row>
    <row r="42" spans="1:7" ht="14.25" customHeight="1" x14ac:dyDescent="0.3">
      <c r="A42" s="2">
        <v>45516</v>
      </c>
      <c r="B42" s="1" t="s">
        <v>31</v>
      </c>
      <c r="C42" s="1">
        <v>1528</v>
      </c>
      <c r="D42" s="1">
        <v>203</v>
      </c>
      <c r="E42" s="1">
        <v>489188</v>
      </c>
      <c r="F42" s="1">
        <v>6.23</v>
      </c>
      <c r="G42" s="1">
        <v>47101</v>
      </c>
    </row>
    <row r="43" spans="1:7" ht="14.25" customHeight="1" x14ac:dyDescent="0.3">
      <c r="A43" s="2">
        <v>45516</v>
      </c>
      <c r="B43" s="1" t="s">
        <v>40</v>
      </c>
      <c r="C43" s="1">
        <v>1534</v>
      </c>
      <c r="D43" s="1">
        <v>200</v>
      </c>
      <c r="E43" s="1">
        <v>307612</v>
      </c>
      <c r="F43" s="1">
        <v>6.01</v>
      </c>
      <c r="G43" s="1">
        <v>37903</v>
      </c>
    </row>
    <row r="44" spans="1:7" ht="14.25" customHeight="1" x14ac:dyDescent="0.3">
      <c r="A44" s="2">
        <v>45516</v>
      </c>
      <c r="B44" s="1" t="s">
        <v>14</v>
      </c>
      <c r="C44" s="1">
        <v>485</v>
      </c>
      <c r="D44" s="1">
        <v>448</v>
      </c>
      <c r="E44" s="1">
        <v>434883</v>
      </c>
      <c r="F44" s="1">
        <v>8.5500000000000007</v>
      </c>
      <c r="G44" s="1">
        <v>33258</v>
      </c>
    </row>
    <row r="45" spans="1:7" ht="14.25" customHeight="1" x14ac:dyDescent="0.3">
      <c r="A45" s="2">
        <v>45516</v>
      </c>
      <c r="B45" s="1" t="s">
        <v>27</v>
      </c>
      <c r="C45" s="1">
        <v>1210</v>
      </c>
      <c r="D45" s="1">
        <v>178</v>
      </c>
      <c r="E45" s="1">
        <v>102042</v>
      </c>
      <c r="F45" s="1">
        <v>5.42</v>
      </c>
      <c r="G45" s="1">
        <v>6915</v>
      </c>
    </row>
    <row r="46" spans="1:7" ht="14.25" customHeight="1" x14ac:dyDescent="0.3">
      <c r="A46" s="2">
        <v>45523</v>
      </c>
      <c r="B46" s="1" t="s">
        <v>31</v>
      </c>
      <c r="C46" s="1">
        <v>215</v>
      </c>
      <c r="D46" s="1">
        <v>139</v>
      </c>
      <c r="E46" s="1">
        <v>325444</v>
      </c>
      <c r="F46" s="1">
        <v>3.25</v>
      </c>
      <c r="G46" s="1">
        <v>35501</v>
      </c>
    </row>
    <row r="47" spans="1:7" ht="14.25" customHeight="1" x14ac:dyDescent="0.3">
      <c r="A47" s="2">
        <v>45523</v>
      </c>
      <c r="B47" s="1" t="s">
        <v>40</v>
      </c>
      <c r="C47" s="1">
        <v>1078</v>
      </c>
      <c r="D47" s="1">
        <v>20</v>
      </c>
      <c r="E47" s="1">
        <v>183924</v>
      </c>
      <c r="F47" s="1">
        <v>8.84</v>
      </c>
      <c r="G47" s="1">
        <v>14203</v>
      </c>
    </row>
    <row r="48" spans="1:7" ht="14.25" customHeight="1" x14ac:dyDescent="0.3">
      <c r="A48" s="2">
        <v>45523</v>
      </c>
      <c r="B48" s="1" t="s">
        <v>14</v>
      </c>
      <c r="C48" s="1">
        <v>1751</v>
      </c>
      <c r="D48" s="1">
        <v>86</v>
      </c>
      <c r="E48" s="1">
        <v>188655</v>
      </c>
      <c r="F48" s="1">
        <v>7.24</v>
      </c>
      <c r="G48" s="1">
        <v>22206</v>
      </c>
    </row>
    <row r="49" spans="1:7" ht="14.25" customHeight="1" x14ac:dyDescent="0.3">
      <c r="A49" s="2">
        <v>45523</v>
      </c>
      <c r="B49" s="1" t="s">
        <v>27</v>
      </c>
      <c r="C49" s="1">
        <v>221</v>
      </c>
      <c r="D49" s="1">
        <v>31</v>
      </c>
      <c r="E49" s="1">
        <v>87443</v>
      </c>
      <c r="F49" s="1">
        <v>6.19</v>
      </c>
      <c r="G49" s="1">
        <v>10283</v>
      </c>
    </row>
    <row r="50" spans="1:7" ht="14.25" customHeight="1" x14ac:dyDescent="0.3">
      <c r="A50" s="2">
        <v>45530</v>
      </c>
      <c r="B50" s="1" t="s">
        <v>31</v>
      </c>
      <c r="C50" s="1">
        <v>1685</v>
      </c>
      <c r="D50" s="1">
        <v>76</v>
      </c>
      <c r="E50" s="1">
        <v>453799</v>
      </c>
      <c r="F50" s="1">
        <v>5.71</v>
      </c>
      <c r="G50" s="1">
        <v>24913</v>
      </c>
    </row>
    <row r="51" spans="1:7" ht="14.25" customHeight="1" x14ac:dyDescent="0.3">
      <c r="A51" s="2">
        <v>45530</v>
      </c>
      <c r="B51" s="1" t="s">
        <v>40</v>
      </c>
      <c r="C51" s="1">
        <v>248</v>
      </c>
      <c r="D51" s="1">
        <v>211</v>
      </c>
      <c r="E51" s="1">
        <v>379380</v>
      </c>
      <c r="F51" s="1">
        <v>9.0399999999999991</v>
      </c>
      <c r="G51" s="1">
        <v>26925</v>
      </c>
    </row>
    <row r="52" spans="1:7" ht="14.25" customHeight="1" x14ac:dyDescent="0.3">
      <c r="A52" s="2">
        <v>45530</v>
      </c>
      <c r="B52" s="1" t="s">
        <v>14</v>
      </c>
      <c r="C52" s="1">
        <v>1300</v>
      </c>
      <c r="D52" s="1">
        <v>71</v>
      </c>
      <c r="E52" s="1">
        <v>186454</v>
      </c>
      <c r="F52" s="1">
        <v>3.91</v>
      </c>
      <c r="G52" s="1">
        <v>9942</v>
      </c>
    </row>
    <row r="53" spans="1:7" ht="14.25" customHeight="1" x14ac:dyDescent="0.3">
      <c r="A53" s="2">
        <v>45530</v>
      </c>
      <c r="B53" s="1" t="s">
        <v>27</v>
      </c>
      <c r="C53" s="1">
        <v>422</v>
      </c>
      <c r="D53" s="1">
        <v>394</v>
      </c>
      <c r="E53" s="1">
        <v>239044</v>
      </c>
      <c r="F53" s="1">
        <v>7.83</v>
      </c>
      <c r="G53" s="1">
        <v>32929</v>
      </c>
    </row>
    <row r="54" spans="1:7" ht="14.25" customHeight="1" x14ac:dyDescent="0.3">
      <c r="A54" s="2">
        <v>45537</v>
      </c>
      <c r="B54" s="1" t="s">
        <v>31</v>
      </c>
      <c r="C54" s="1">
        <v>1429</v>
      </c>
      <c r="D54" s="1">
        <v>182</v>
      </c>
      <c r="E54" s="1">
        <v>101332</v>
      </c>
      <c r="F54" s="1">
        <v>7.16</v>
      </c>
      <c r="G54" s="1">
        <v>37829</v>
      </c>
    </row>
    <row r="55" spans="1:7" ht="14.25" customHeight="1" x14ac:dyDescent="0.3">
      <c r="A55" s="2">
        <v>45537</v>
      </c>
      <c r="B55" s="1" t="s">
        <v>40</v>
      </c>
      <c r="C55" s="1">
        <v>1520</v>
      </c>
      <c r="D55" s="1">
        <v>475</v>
      </c>
      <c r="E55" s="1">
        <v>496982</v>
      </c>
      <c r="F55" s="1">
        <v>6.41</v>
      </c>
      <c r="G55" s="1">
        <v>24384</v>
      </c>
    </row>
    <row r="56" spans="1:7" ht="14.25" customHeight="1" x14ac:dyDescent="0.3">
      <c r="A56" s="2">
        <v>45537</v>
      </c>
      <c r="B56" s="1" t="s">
        <v>14</v>
      </c>
      <c r="C56" s="1">
        <v>557</v>
      </c>
      <c r="D56" s="1">
        <v>360</v>
      </c>
      <c r="E56" s="1">
        <v>318779</v>
      </c>
      <c r="F56" s="1">
        <v>8.02</v>
      </c>
      <c r="G56" s="1">
        <v>25797</v>
      </c>
    </row>
    <row r="57" spans="1:7" ht="14.25" customHeight="1" x14ac:dyDescent="0.3">
      <c r="A57" s="2">
        <v>45537</v>
      </c>
      <c r="B57" s="1" t="s">
        <v>27</v>
      </c>
      <c r="C57" s="1">
        <v>728</v>
      </c>
      <c r="D57" s="1">
        <v>395</v>
      </c>
      <c r="E57" s="1">
        <v>370971</v>
      </c>
      <c r="F57" s="1">
        <v>3.86</v>
      </c>
      <c r="G57" s="1">
        <v>12646</v>
      </c>
    </row>
    <row r="58" spans="1:7" ht="14.25" customHeight="1" x14ac:dyDescent="0.3">
      <c r="A58" s="2">
        <v>45544</v>
      </c>
      <c r="B58" s="1" t="s">
        <v>31</v>
      </c>
      <c r="C58" s="1">
        <v>1592</v>
      </c>
      <c r="D58" s="1">
        <v>20</v>
      </c>
      <c r="E58" s="1">
        <v>378054</v>
      </c>
      <c r="F58" s="1">
        <v>9.09</v>
      </c>
      <c r="G58" s="1">
        <v>26663</v>
      </c>
    </row>
    <row r="59" spans="1:7" ht="14.25" customHeight="1" x14ac:dyDescent="0.3">
      <c r="A59" s="2">
        <v>45544</v>
      </c>
      <c r="B59" s="1" t="s">
        <v>40</v>
      </c>
      <c r="C59" s="1">
        <v>1842</v>
      </c>
      <c r="D59" s="1">
        <v>414</v>
      </c>
      <c r="E59" s="1">
        <v>307524</v>
      </c>
      <c r="F59" s="1">
        <v>1.76</v>
      </c>
      <c r="G59" s="1">
        <v>40478</v>
      </c>
    </row>
    <row r="60" spans="1:7" ht="14.25" customHeight="1" x14ac:dyDescent="0.3">
      <c r="A60" s="2">
        <v>45544</v>
      </c>
      <c r="B60" s="1" t="s">
        <v>14</v>
      </c>
      <c r="C60" s="1">
        <v>751</v>
      </c>
      <c r="D60" s="1">
        <v>491</v>
      </c>
      <c r="E60" s="1">
        <v>434047</v>
      </c>
      <c r="F60" s="1">
        <v>9.24</v>
      </c>
      <c r="G60" s="1">
        <v>15476</v>
      </c>
    </row>
    <row r="61" spans="1:7" ht="14.25" customHeight="1" x14ac:dyDescent="0.3">
      <c r="A61" s="2">
        <v>45544</v>
      </c>
      <c r="B61" s="1" t="s">
        <v>27</v>
      </c>
      <c r="C61" s="1">
        <v>1409</v>
      </c>
      <c r="D61" s="1">
        <v>309</v>
      </c>
      <c r="E61" s="1">
        <v>64583</v>
      </c>
      <c r="F61" s="1">
        <v>8.99</v>
      </c>
      <c r="G61" s="1">
        <v>10217</v>
      </c>
    </row>
    <row r="62" spans="1:7" ht="14.25" customHeight="1" x14ac:dyDescent="0.3">
      <c r="A62" s="2">
        <v>45551</v>
      </c>
      <c r="B62" s="1" t="s">
        <v>31</v>
      </c>
      <c r="C62" s="1">
        <v>778</v>
      </c>
      <c r="D62" s="1">
        <v>401</v>
      </c>
      <c r="E62" s="1">
        <v>50793</v>
      </c>
      <c r="F62" s="1">
        <v>3.4</v>
      </c>
      <c r="G62" s="1">
        <v>21939</v>
      </c>
    </row>
    <row r="63" spans="1:7" ht="14.25" customHeight="1" x14ac:dyDescent="0.3">
      <c r="A63" s="2">
        <v>45551</v>
      </c>
      <c r="B63" s="1" t="s">
        <v>40</v>
      </c>
      <c r="C63" s="1">
        <v>443</v>
      </c>
      <c r="D63" s="1">
        <v>345</v>
      </c>
      <c r="E63" s="1">
        <v>474162</v>
      </c>
      <c r="F63" s="1">
        <v>9.1999999999999993</v>
      </c>
      <c r="G63" s="1">
        <v>47462</v>
      </c>
    </row>
    <row r="64" spans="1:7" ht="14.25" customHeight="1" x14ac:dyDescent="0.3">
      <c r="A64" s="2">
        <v>45551</v>
      </c>
      <c r="B64" s="1" t="s">
        <v>14</v>
      </c>
      <c r="C64" s="1">
        <v>1472</v>
      </c>
      <c r="D64" s="1">
        <v>347</v>
      </c>
      <c r="E64" s="1">
        <v>392355</v>
      </c>
      <c r="F64" s="1">
        <v>8.59</v>
      </c>
      <c r="G64" s="1">
        <v>30270</v>
      </c>
    </row>
    <row r="65" spans="1:7" ht="14.25" customHeight="1" x14ac:dyDescent="0.3">
      <c r="A65" s="2">
        <v>45551</v>
      </c>
      <c r="B65" s="1" t="s">
        <v>27</v>
      </c>
      <c r="C65" s="1">
        <v>123</v>
      </c>
      <c r="D65" s="1">
        <v>155</v>
      </c>
      <c r="E65" s="1">
        <v>119934</v>
      </c>
      <c r="F65" s="1">
        <v>3.5</v>
      </c>
      <c r="G65" s="1">
        <v>5442</v>
      </c>
    </row>
    <row r="66" spans="1:7" ht="14.25" customHeight="1" x14ac:dyDescent="0.3">
      <c r="A66" s="2">
        <v>45558</v>
      </c>
      <c r="B66" s="1" t="s">
        <v>31</v>
      </c>
      <c r="C66" s="1">
        <v>817</v>
      </c>
      <c r="D66" s="1">
        <v>151</v>
      </c>
      <c r="E66" s="1">
        <v>422625</v>
      </c>
      <c r="F66" s="1">
        <v>2.36</v>
      </c>
      <c r="G66" s="1">
        <v>1083</v>
      </c>
    </row>
    <row r="67" spans="1:7" ht="14.25" customHeight="1" x14ac:dyDescent="0.3">
      <c r="A67" s="2">
        <v>45558</v>
      </c>
      <c r="B67" s="1" t="s">
        <v>40</v>
      </c>
      <c r="C67" s="1">
        <v>198</v>
      </c>
      <c r="D67" s="1">
        <v>217</v>
      </c>
      <c r="E67" s="1">
        <v>239753</v>
      </c>
      <c r="F67" s="1">
        <v>7.36</v>
      </c>
      <c r="G67" s="1">
        <v>11901</v>
      </c>
    </row>
    <row r="68" spans="1:7" ht="14.25" customHeight="1" x14ac:dyDescent="0.3">
      <c r="A68" s="2">
        <v>45558</v>
      </c>
      <c r="B68" s="1" t="s">
        <v>14</v>
      </c>
      <c r="C68" s="1">
        <v>1911</v>
      </c>
      <c r="D68" s="1">
        <v>231</v>
      </c>
      <c r="E68" s="1">
        <v>268516</v>
      </c>
      <c r="F68" s="1">
        <v>8.5500000000000007</v>
      </c>
      <c r="G68" s="1">
        <v>24018</v>
      </c>
    </row>
    <row r="69" spans="1:7" ht="14.25" customHeight="1" x14ac:dyDescent="0.3">
      <c r="A69" s="2">
        <v>45558</v>
      </c>
      <c r="B69" s="1" t="s">
        <v>27</v>
      </c>
      <c r="C69" s="1">
        <v>1218</v>
      </c>
      <c r="D69" s="1">
        <v>212</v>
      </c>
      <c r="E69" s="1">
        <v>63177</v>
      </c>
      <c r="F69" s="1">
        <v>8.1300000000000008</v>
      </c>
      <c r="G69" s="1">
        <v>38883</v>
      </c>
    </row>
    <row r="70" spans="1:7" ht="14.25" customHeight="1" x14ac:dyDescent="0.3">
      <c r="A70" s="2">
        <v>45565</v>
      </c>
      <c r="B70" s="1" t="s">
        <v>31</v>
      </c>
      <c r="C70" s="1">
        <v>1433</v>
      </c>
      <c r="D70" s="1">
        <v>408</v>
      </c>
      <c r="E70" s="1">
        <v>370269</v>
      </c>
      <c r="F70" s="1">
        <v>3.3</v>
      </c>
      <c r="G70" s="1">
        <v>30575</v>
      </c>
    </row>
    <row r="71" spans="1:7" ht="14.25" customHeight="1" x14ac:dyDescent="0.3">
      <c r="A71" s="2">
        <v>45565</v>
      </c>
      <c r="B71" s="1" t="s">
        <v>40</v>
      </c>
      <c r="C71" s="1">
        <v>250</v>
      </c>
      <c r="D71" s="1">
        <v>429</v>
      </c>
      <c r="E71" s="1">
        <v>453423</v>
      </c>
      <c r="F71" s="1">
        <v>1.77</v>
      </c>
      <c r="G71" s="1">
        <v>2315</v>
      </c>
    </row>
    <row r="72" spans="1:7" ht="14.25" customHeight="1" x14ac:dyDescent="0.3">
      <c r="A72" s="2">
        <v>45565</v>
      </c>
      <c r="B72" s="1" t="s">
        <v>14</v>
      </c>
      <c r="C72" s="1">
        <v>752</v>
      </c>
      <c r="D72" s="1">
        <v>153</v>
      </c>
      <c r="E72" s="1">
        <v>64906</v>
      </c>
      <c r="F72" s="1">
        <v>2.09</v>
      </c>
      <c r="G72" s="1">
        <v>12148</v>
      </c>
    </row>
    <row r="73" spans="1:7" ht="14.25" customHeight="1" x14ac:dyDescent="0.3">
      <c r="A73" s="2">
        <v>45565</v>
      </c>
      <c r="B73" s="1" t="s">
        <v>27</v>
      </c>
      <c r="C73" s="1">
        <v>1918</v>
      </c>
      <c r="D73" s="1">
        <v>212</v>
      </c>
      <c r="E73" s="1">
        <v>94360</v>
      </c>
      <c r="F73" s="1">
        <v>7.36</v>
      </c>
      <c r="G73" s="1">
        <v>36851</v>
      </c>
    </row>
    <row r="74" spans="1:7" ht="14.25" customHeight="1" x14ac:dyDescent="0.3">
      <c r="A74" s="2">
        <v>45572</v>
      </c>
      <c r="B74" s="1" t="s">
        <v>31</v>
      </c>
      <c r="C74" s="1">
        <v>1939</v>
      </c>
      <c r="D74" s="1">
        <v>67</v>
      </c>
      <c r="E74" s="1">
        <v>187183</v>
      </c>
      <c r="F74" s="1">
        <v>6.25</v>
      </c>
      <c r="G74" s="1">
        <v>41215</v>
      </c>
    </row>
    <row r="75" spans="1:7" ht="14.25" customHeight="1" x14ac:dyDescent="0.3">
      <c r="A75" s="2">
        <v>45572</v>
      </c>
      <c r="B75" s="1" t="s">
        <v>40</v>
      </c>
      <c r="C75" s="1">
        <v>1929</v>
      </c>
      <c r="D75" s="1">
        <v>267</v>
      </c>
      <c r="E75" s="1">
        <v>379363</v>
      </c>
      <c r="F75" s="1">
        <v>1.75</v>
      </c>
      <c r="G75" s="1">
        <v>43836</v>
      </c>
    </row>
    <row r="76" spans="1:7" ht="14.25" customHeight="1" x14ac:dyDescent="0.3">
      <c r="A76" s="2">
        <v>45572</v>
      </c>
      <c r="B76" s="1" t="s">
        <v>14</v>
      </c>
      <c r="C76" s="1">
        <v>437</v>
      </c>
      <c r="D76" s="1">
        <v>330</v>
      </c>
      <c r="E76" s="1">
        <v>476486</v>
      </c>
      <c r="F76" s="1">
        <v>4.97</v>
      </c>
      <c r="G76" s="1">
        <v>4509</v>
      </c>
    </row>
    <row r="77" spans="1:7" ht="14.25" customHeight="1" x14ac:dyDescent="0.3">
      <c r="A77" s="2">
        <v>45572</v>
      </c>
      <c r="B77" s="1" t="s">
        <v>27</v>
      </c>
      <c r="C77" s="1">
        <v>307</v>
      </c>
      <c r="D77" s="1">
        <v>189</v>
      </c>
      <c r="E77" s="1">
        <v>117767</v>
      </c>
      <c r="F77" s="1">
        <v>9.3000000000000007</v>
      </c>
      <c r="G77" s="1">
        <v>27822</v>
      </c>
    </row>
    <row r="78" spans="1:7" ht="14.25" customHeight="1" x14ac:dyDescent="0.3">
      <c r="A78" s="2">
        <v>45579</v>
      </c>
      <c r="B78" s="1" t="s">
        <v>31</v>
      </c>
      <c r="C78" s="1">
        <v>1527</v>
      </c>
      <c r="D78" s="1">
        <v>303</v>
      </c>
      <c r="E78" s="1">
        <v>388555</v>
      </c>
      <c r="F78" s="1">
        <v>8.9</v>
      </c>
      <c r="G78" s="1">
        <v>36397</v>
      </c>
    </row>
    <row r="79" spans="1:7" ht="14.25" customHeight="1" x14ac:dyDescent="0.3">
      <c r="A79" s="2">
        <v>45579</v>
      </c>
      <c r="B79" s="1" t="s">
        <v>40</v>
      </c>
      <c r="C79" s="1">
        <v>643</v>
      </c>
      <c r="D79" s="1">
        <v>358</v>
      </c>
      <c r="E79" s="1">
        <v>157599</v>
      </c>
      <c r="F79" s="1">
        <v>3.88</v>
      </c>
      <c r="G79" s="1">
        <v>7285</v>
      </c>
    </row>
    <row r="80" spans="1:7" ht="14.25" customHeight="1" x14ac:dyDescent="0.3">
      <c r="A80" s="2">
        <v>45579</v>
      </c>
      <c r="B80" s="1" t="s">
        <v>14</v>
      </c>
      <c r="C80" s="1">
        <v>201</v>
      </c>
      <c r="D80" s="1">
        <v>221</v>
      </c>
      <c r="E80" s="1">
        <v>309772</v>
      </c>
      <c r="F80" s="1">
        <v>5.9</v>
      </c>
      <c r="G80" s="1">
        <v>33174</v>
      </c>
    </row>
    <row r="81" spans="1:7" ht="14.25" customHeight="1" x14ac:dyDescent="0.3">
      <c r="A81" s="2">
        <v>45579</v>
      </c>
      <c r="B81" s="1" t="s">
        <v>27</v>
      </c>
      <c r="C81" s="1">
        <v>414</v>
      </c>
      <c r="D81" s="1">
        <v>47</v>
      </c>
      <c r="E81" s="1">
        <v>199178</v>
      </c>
      <c r="F81" s="1">
        <v>1.53</v>
      </c>
      <c r="G81" s="1">
        <v>6742</v>
      </c>
    </row>
    <row r="82" spans="1:7" ht="14.25" customHeight="1" x14ac:dyDescent="0.3">
      <c r="A82" s="2">
        <v>45586</v>
      </c>
      <c r="B82" s="1" t="s">
        <v>31</v>
      </c>
      <c r="C82" s="1">
        <v>703</v>
      </c>
      <c r="D82" s="1">
        <v>441</v>
      </c>
      <c r="E82" s="1">
        <v>357089</v>
      </c>
      <c r="F82" s="1">
        <v>6.5</v>
      </c>
      <c r="G82" s="1">
        <v>32478</v>
      </c>
    </row>
    <row r="83" spans="1:7" ht="14.25" customHeight="1" x14ac:dyDescent="0.3">
      <c r="A83" s="2">
        <v>45586</v>
      </c>
      <c r="B83" s="1" t="s">
        <v>40</v>
      </c>
      <c r="C83" s="1">
        <v>508</v>
      </c>
      <c r="D83" s="1">
        <v>69</v>
      </c>
      <c r="E83" s="1">
        <v>23492</v>
      </c>
      <c r="F83" s="1">
        <v>3.16</v>
      </c>
      <c r="G83" s="1">
        <v>42824</v>
      </c>
    </row>
    <row r="84" spans="1:7" ht="14.25" customHeight="1" x14ac:dyDescent="0.3">
      <c r="A84" s="2">
        <v>45586</v>
      </c>
      <c r="B84" s="1" t="s">
        <v>14</v>
      </c>
      <c r="C84" s="1">
        <v>697</v>
      </c>
      <c r="D84" s="1">
        <v>61</v>
      </c>
      <c r="E84" s="1">
        <v>258287</v>
      </c>
      <c r="F84" s="1">
        <v>8.25</v>
      </c>
      <c r="G84" s="1">
        <v>21208</v>
      </c>
    </row>
    <row r="85" spans="1:7" ht="14.25" customHeight="1" x14ac:dyDescent="0.3">
      <c r="A85" s="2">
        <v>45586</v>
      </c>
      <c r="B85" s="1" t="s">
        <v>27</v>
      </c>
      <c r="C85" s="1">
        <v>1707</v>
      </c>
      <c r="D85" s="1">
        <v>223</v>
      </c>
      <c r="E85" s="1">
        <v>256910</v>
      </c>
      <c r="F85" s="1">
        <v>5.41</v>
      </c>
      <c r="G85" s="1">
        <v>44321</v>
      </c>
    </row>
    <row r="86" spans="1:7" ht="14.25" customHeight="1" x14ac:dyDescent="0.3">
      <c r="A86" s="2">
        <v>45593</v>
      </c>
      <c r="B86" s="1" t="s">
        <v>31</v>
      </c>
      <c r="C86" s="1">
        <v>642</v>
      </c>
      <c r="D86" s="1">
        <v>66</v>
      </c>
      <c r="E86" s="1">
        <v>346522</v>
      </c>
      <c r="F86" s="1">
        <v>5.85</v>
      </c>
      <c r="G86" s="1">
        <v>13116</v>
      </c>
    </row>
    <row r="87" spans="1:7" ht="14.25" customHeight="1" x14ac:dyDescent="0.3">
      <c r="A87" s="2">
        <v>45593</v>
      </c>
      <c r="B87" s="1" t="s">
        <v>40</v>
      </c>
      <c r="C87" s="1">
        <v>859</v>
      </c>
      <c r="D87" s="1">
        <v>473</v>
      </c>
      <c r="E87" s="1">
        <v>209987</v>
      </c>
      <c r="F87" s="1">
        <v>4.46</v>
      </c>
      <c r="G87" s="1">
        <v>30214</v>
      </c>
    </row>
    <row r="88" spans="1:7" ht="14.25" customHeight="1" x14ac:dyDescent="0.3">
      <c r="A88" s="2">
        <v>45593</v>
      </c>
      <c r="B88" s="1" t="s">
        <v>14</v>
      </c>
      <c r="C88" s="1">
        <v>191</v>
      </c>
      <c r="D88" s="1">
        <v>154</v>
      </c>
      <c r="E88" s="1">
        <v>240550</v>
      </c>
      <c r="F88" s="1">
        <v>5.22</v>
      </c>
      <c r="G88" s="1">
        <v>15827</v>
      </c>
    </row>
    <row r="89" spans="1:7" ht="14.25" customHeight="1" x14ac:dyDescent="0.3">
      <c r="A89" s="2">
        <v>45593</v>
      </c>
      <c r="B89" s="1" t="s">
        <v>27</v>
      </c>
      <c r="C89" s="1">
        <v>1814</v>
      </c>
      <c r="D89" s="1">
        <v>157</v>
      </c>
      <c r="E89" s="1">
        <v>305827</v>
      </c>
      <c r="F89" s="1">
        <v>1.99</v>
      </c>
      <c r="G89" s="1">
        <v>46643</v>
      </c>
    </row>
    <row r="90" spans="1:7" ht="14.25" customHeight="1" x14ac:dyDescent="0.3">
      <c r="A90" s="2">
        <v>45600</v>
      </c>
      <c r="B90" s="1" t="s">
        <v>31</v>
      </c>
      <c r="C90" s="1">
        <v>1466</v>
      </c>
      <c r="D90" s="1">
        <v>69</v>
      </c>
      <c r="E90" s="1">
        <v>54935</v>
      </c>
      <c r="F90" s="1">
        <v>6.85</v>
      </c>
      <c r="G90" s="1">
        <v>36484</v>
      </c>
    </row>
    <row r="91" spans="1:7" ht="14.25" customHeight="1" x14ac:dyDescent="0.3">
      <c r="A91" s="2">
        <v>45600</v>
      </c>
      <c r="B91" s="1" t="s">
        <v>40</v>
      </c>
      <c r="C91" s="1">
        <v>947</v>
      </c>
      <c r="D91" s="1">
        <v>407</v>
      </c>
      <c r="E91" s="1">
        <v>319186</v>
      </c>
      <c r="F91" s="1">
        <v>3.32</v>
      </c>
      <c r="G91" s="1">
        <v>4996</v>
      </c>
    </row>
    <row r="92" spans="1:7" ht="14.25" customHeight="1" x14ac:dyDescent="0.3">
      <c r="A92" s="2">
        <v>45600</v>
      </c>
      <c r="B92" s="1" t="s">
        <v>14</v>
      </c>
      <c r="C92" s="1">
        <v>1821</v>
      </c>
      <c r="D92" s="1">
        <v>218</v>
      </c>
      <c r="E92" s="1">
        <v>439080</v>
      </c>
      <c r="F92" s="1">
        <v>5.68</v>
      </c>
      <c r="G92" s="1">
        <v>36095</v>
      </c>
    </row>
    <row r="93" spans="1:7" ht="14.25" customHeight="1" x14ac:dyDescent="0.3">
      <c r="A93" s="2">
        <v>45600</v>
      </c>
      <c r="B93" s="1" t="s">
        <v>27</v>
      </c>
      <c r="C93" s="1">
        <v>1507</v>
      </c>
      <c r="D93" s="1">
        <v>463</v>
      </c>
      <c r="E93" s="1">
        <v>258944</v>
      </c>
      <c r="F93" s="1">
        <v>6.08</v>
      </c>
      <c r="G93" s="1">
        <v>16443</v>
      </c>
    </row>
    <row r="94" spans="1:7" ht="14.25" customHeight="1" x14ac:dyDescent="0.3">
      <c r="A94" s="2">
        <v>45607</v>
      </c>
      <c r="B94" s="1" t="s">
        <v>31</v>
      </c>
      <c r="C94" s="1">
        <v>1075</v>
      </c>
      <c r="D94" s="1">
        <v>173</v>
      </c>
      <c r="E94" s="1">
        <v>51395</v>
      </c>
      <c r="F94" s="1">
        <v>4.66</v>
      </c>
      <c r="G94" s="1">
        <v>47812</v>
      </c>
    </row>
    <row r="95" spans="1:7" ht="14.25" customHeight="1" x14ac:dyDescent="0.3">
      <c r="A95" s="2">
        <v>45607</v>
      </c>
      <c r="B95" s="1" t="s">
        <v>40</v>
      </c>
      <c r="C95" s="1">
        <v>171</v>
      </c>
      <c r="D95" s="1">
        <v>277</v>
      </c>
      <c r="E95" s="1">
        <v>309483</v>
      </c>
      <c r="F95" s="1">
        <v>8.6999999999999993</v>
      </c>
      <c r="G95" s="1">
        <v>38452</v>
      </c>
    </row>
    <row r="96" spans="1:7" ht="14.25" customHeight="1" x14ac:dyDescent="0.3">
      <c r="A96" s="2">
        <v>45607</v>
      </c>
      <c r="B96" s="1" t="s">
        <v>14</v>
      </c>
      <c r="C96" s="1">
        <v>1487</v>
      </c>
      <c r="D96" s="1">
        <v>337</v>
      </c>
      <c r="E96" s="1">
        <v>87305</v>
      </c>
      <c r="F96" s="1">
        <v>2.46</v>
      </c>
      <c r="G96" s="1">
        <v>30428</v>
      </c>
    </row>
    <row r="97" spans="1:7" ht="14.25" customHeight="1" x14ac:dyDescent="0.3">
      <c r="A97" s="2">
        <v>45607</v>
      </c>
      <c r="B97" s="1" t="s">
        <v>27</v>
      </c>
      <c r="C97" s="1">
        <v>454</v>
      </c>
      <c r="D97" s="1">
        <v>105</v>
      </c>
      <c r="E97" s="1">
        <v>121091</v>
      </c>
      <c r="F97" s="1">
        <v>7.97</v>
      </c>
      <c r="G97" s="1">
        <v>9269</v>
      </c>
    </row>
    <row r="98" spans="1:7" ht="14.25" customHeight="1" x14ac:dyDescent="0.3">
      <c r="A98" s="2">
        <v>45614</v>
      </c>
      <c r="B98" s="1" t="s">
        <v>31</v>
      </c>
      <c r="C98" s="1">
        <v>187</v>
      </c>
      <c r="D98" s="1">
        <v>236</v>
      </c>
      <c r="E98" s="1">
        <v>51087</v>
      </c>
      <c r="F98" s="1">
        <v>9.41</v>
      </c>
      <c r="G98" s="1">
        <v>29533</v>
      </c>
    </row>
    <row r="99" spans="1:7" ht="14.25" customHeight="1" x14ac:dyDescent="0.3">
      <c r="A99" s="2">
        <v>45614</v>
      </c>
      <c r="B99" s="1" t="s">
        <v>40</v>
      </c>
      <c r="C99" s="1">
        <v>513</v>
      </c>
      <c r="D99" s="1">
        <v>441</v>
      </c>
      <c r="E99" s="1">
        <v>338847</v>
      </c>
      <c r="F99" s="1">
        <v>2.68</v>
      </c>
      <c r="G99" s="1">
        <v>39997</v>
      </c>
    </row>
    <row r="100" spans="1:7" ht="14.25" customHeight="1" x14ac:dyDescent="0.3">
      <c r="A100" s="2">
        <v>45614</v>
      </c>
      <c r="B100" s="1" t="s">
        <v>14</v>
      </c>
      <c r="C100" s="1">
        <v>628</v>
      </c>
      <c r="D100" s="1">
        <v>183</v>
      </c>
      <c r="E100" s="1">
        <v>487523</v>
      </c>
      <c r="F100" s="1">
        <v>7.32</v>
      </c>
      <c r="G100" s="1">
        <v>5391</v>
      </c>
    </row>
    <row r="101" spans="1:7" ht="14.25" customHeight="1" x14ac:dyDescent="0.3">
      <c r="A101" s="2">
        <v>45614</v>
      </c>
      <c r="B101" s="1" t="s">
        <v>27</v>
      </c>
      <c r="C101" s="1">
        <v>278</v>
      </c>
      <c r="D101" s="1">
        <v>218</v>
      </c>
      <c r="E101" s="1">
        <v>301695</v>
      </c>
      <c r="F101" s="1">
        <v>4.68</v>
      </c>
      <c r="G101" s="1">
        <v>22373</v>
      </c>
    </row>
    <row r="102" spans="1:7" ht="14.25" customHeight="1" x14ac:dyDescent="0.3">
      <c r="A102" s="2">
        <v>45621</v>
      </c>
      <c r="B102" s="1" t="s">
        <v>31</v>
      </c>
      <c r="C102" s="1">
        <v>1854</v>
      </c>
      <c r="D102" s="1">
        <v>161</v>
      </c>
      <c r="E102" s="1">
        <v>282466</v>
      </c>
      <c r="F102" s="1">
        <v>5.17</v>
      </c>
      <c r="G102" s="1">
        <v>1810</v>
      </c>
    </row>
    <row r="103" spans="1:7" ht="14.25" customHeight="1" x14ac:dyDescent="0.3">
      <c r="A103" s="2">
        <v>45621</v>
      </c>
      <c r="B103" s="1" t="s">
        <v>40</v>
      </c>
      <c r="C103" s="1">
        <v>1710</v>
      </c>
      <c r="D103" s="1">
        <v>378</v>
      </c>
      <c r="E103" s="1">
        <v>336661</v>
      </c>
      <c r="F103" s="1">
        <v>6.2</v>
      </c>
      <c r="G103" s="1">
        <v>28498</v>
      </c>
    </row>
    <row r="104" spans="1:7" ht="14.25" customHeight="1" x14ac:dyDescent="0.3">
      <c r="A104" s="2">
        <v>45621</v>
      </c>
      <c r="B104" s="1" t="s">
        <v>14</v>
      </c>
      <c r="C104" s="1">
        <v>330</v>
      </c>
      <c r="D104" s="1">
        <v>232</v>
      </c>
      <c r="E104" s="1">
        <v>88455</v>
      </c>
      <c r="F104" s="1">
        <v>2.69</v>
      </c>
      <c r="G104" s="1">
        <v>39530</v>
      </c>
    </row>
    <row r="105" spans="1:7" ht="14.25" customHeight="1" x14ac:dyDescent="0.3">
      <c r="A105" s="2">
        <v>45621</v>
      </c>
      <c r="B105" s="1" t="s">
        <v>27</v>
      </c>
      <c r="C105" s="1">
        <v>1293</v>
      </c>
      <c r="D105" s="1">
        <v>408</v>
      </c>
      <c r="E105" s="1">
        <v>62535</v>
      </c>
      <c r="F105" s="1">
        <v>8.9</v>
      </c>
      <c r="G105" s="1">
        <v>37876</v>
      </c>
    </row>
    <row r="106" spans="1:7" ht="14.25" customHeight="1" x14ac:dyDescent="0.3">
      <c r="A106" s="2">
        <v>45628</v>
      </c>
      <c r="B106" s="1" t="s">
        <v>31</v>
      </c>
      <c r="C106" s="1">
        <v>1696</v>
      </c>
      <c r="D106" s="1">
        <v>71</v>
      </c>
      <c r="E106" s="1">
        <v>421957</v>
      </c>
      <c r="F106" s="1">
        <v>3.79</v>
      </c>
      <c r="G106" s="1">
        <v>36103</v>
      </c>
    </row>
    <row r="107" spans="1:7" ht="14.25" customHeight="1" x14ac:dyDescent="0.3">
      <c r="A107" s="2">
        <v>45628</v>
      </c>
      <c r="B107" s="1" t="s">
        <v>40</v>
      </c>
      <c r="C107" s="1">
        <v>1902</v>
      </c>
      <c r="D107" s="1">
        <v>196</v>
      </c>
      <c r="E107" s="1">
        <v>470269</v>
      </c>
      <c r="F107" s="1">
        <v>4.79</v>
      </c>
      <c r="G107" s="1">
        <v>26103</v>
      </c>
    </row>
    <row r="108" spans="1:7" ht="14.25" customHeight="1" x14ac:dyDescent="0.3">
      <c r="A108" s="2">
        <v>45628</v>
      </c>
      <c r="B108" s="1" t="s">
        <v>14</v>
      </c>
      <c r="C108" s="1">
        <v>1441</v>
      </c>
      <c r="D108" s="1">
        <v>268</v>
      </c>
      <c r="E108" s="1">
        <v>309904</v>
      </c>
      <c r="F108" s="1">
        <v>6.37</v>
      </c>
      <c r="G108" s="1">
        <v>3455</v>
      </c>
    </row>
    <row r="109" spans="1:7" ht="14.25" customHeight="1" x14ac:dyDescent="0.3">
      <c r="A109" s="2">
        <v>45628</v>
      </c>
      <c r="B109" s="1" t="s">
        <v>27</v>
      </c>
      <c r="C109" s="1">
        <v>452</v>
      </c>
      <c r="D109" s="1">
        <v>161</v>
      </c>
      <c r="E109" s="1">
        <v>221274</v>
      </c>
      <c r="F109" s="1">
        <v>2.65</v>
      </c>
      <c r="G109" s="1">
        <v>40888</v>
      </c>
    </row>
    <row r="110" spans="1:7" ht="14.25" customHeight="1" x14ac:dyDescent="0.3">
      <c r="A110" s="2">
        <v>45635</v>
      </c>
      <c r="B110" s="1" t="s">
        <v>31</v>
      </c>
      <c r="C110" s="1">
        <v>1494</v>
      </c>
      <c r="D110" s="1">
        <v>375</v>
      </c>
      <c r="E110" s="1">
        <v>220616</v>
      </c>
      <c r="F110" s="1">
        <v>1.81</v>
      </c>
      <c r="G110" s="1">
        <v>22724</v>
      </c>
    </row>
    <row r="111" spans="1:7" ht="14.25" customHeight="1" x14ac:dyDescent="0.3">
      <c r="A111" s="2">
        <v>45635</v>
      </c>
      <c r="B111" s="1" t="s">
        <v>40</v>
      </c>
      <c r="C111" s="1">
        <v>1514</v>
      </c>
      <c r="D111" s="1">
        <v>141</v>
      </c>
      <c r="E111" s="1">
        <v>35842</v>
      </c>
      <c r="F111" s="1">
        <v>7.47</v>
      </c>
      <c r="G111" s="1">
        <v>18601</v>
      </c>
    </row>
    <row r="112" spans="1:7" ht="14.25" customHeight="1" x14ac:dyDescent="0.3">
      <c r="A112" s="2">
        <v>45635</v>
      </c>
      <c r="B112" s="1" t="s">
        <v>14</v>
      </c>
      <c r="C112" s="1">
        <v>1937</v>
      </c>
      <c r="D112" s="1">
        <v>210</v>
      </c>
      <c r="E112" s="1">
        <v>20607</v>
      </c>
      <c r="F112" s="1">
        <v>4.2</v>
      </c>
      <c r="G112" s="1">
        <v>20861</v>
      </c>
    </row>
    <row r="113" spans="1:7" ht="14.25" customHeight="1" x14ac:dyDescent="0.3">
      <c r="A113" s="2">
        <v>45635</v>
      </c>
      <c r="B113" s="1" t="s">
        <v>27</v>
      </c>
      <c r="C113" s="1">
        <v>736</v>
      </c>
      <c r="D113" s="1">
        <v>163</v>
      </c>
      <c r="E113" s="1">
        <v>451894</v>
      </c>
      <c r="F113" s="1">
        <v>5.43</v>
      </c>
      <c r="G113" s="1">
        <v>46625</v>
      </c>
    </row>
    <row r="114" spans="1:7" ht="14.25" customHeight="1" x14ac:dyDescent="0.3">
      <c r="A114" s="2">
        <v>45642</v>
      </c>
      <c r="B114" s="1" t="s">
        <v>31</v>
      </c>
      <c r="C114" s="1">
        <v>1502</v>
      </c>
      <c r="D114" s="1">
        <v>70</v>
      </c>
      <c r="E114" s="1">
        <v>465553</v>
      </c>
      <c r="F114" s="1">
        <v>3.32</v>
      </c>
      <c r="G114" s="1">
        <v>20692</v>
      </c>
    </row>
    <row r="115" spans="1:7" ht="14.25" customHeight="1" x14ac:dyDescent="0.3">
      <c r="A115" s="2">
        <v>45642</v>
      </c>
      <c r="B115" s="1" t="s">
        <v>40</v>
      </c>
      <c r="C115" s="1">
        <v>1623</v>
      </c>
      <c r="D115" s="1">
        <v>246</v>
      </c>
      <c r="E115" s="1">
        <v>415815</v>
      </c>
      <c r="F115" s="1">
        <v>8.11</v>
      </c>
      <c r="G115" s="1">
        <v>18656</v>
      </c>
    </row>
    <row r="116" spans="1:7" ht="14.25" customHeight="1" x14ac:dyDescent="0.3">
      <c r="A116" s="2">
        <v>45642</v>
      </c>
      <c r="B116" s="1" t="s">
        <v>14</v>
      </c>
      <c r="C116" s="1">
        <v>1592</v>
      </c>
      <c r="D116" s="1">
        <v>233</v>
      </c>
      <c r="E116" s="1">
        <v>327183</v>
      </c>
      <c r="F116" s="1">
        <v>6.66</v>
      </c>
      <c r="G116" s="1">
        <v>13316</v>
      </c>
    </row>
    <row r="117" spans="1:7" ht="14.25" customHeight="1" x14ac:dyDescent="0.3">
      <c r="A117" s="2">
        <v>45642</v>
      </c>
      <c r="B117" s="1" t="s">
        <v>27</v>
      </c>
      <c r="C117" s="1">
        <v>1004</v>
      </c>
      <c r="D117" s="1">
        <v>128</v>
      </c>
      <c r="E117" s="1">
        <v>488901</v>
      </c>
      <c r="F117" s="1">
        <v>8.09</v>
      </c>
      <c r="G117" s="1">
        <v>49558</v>
      </c>
    </row>
    <row r="118" spans="1:7" ht="14.25" customHeight="1" x14ac:dyDescent="0.3">
      <c r="A118" s="2">
        <v>45649</v>
      </c>
      <c r="B118" s="1" t="s">
        <v>31</v>
      </c>
      <c r="C118" s="1">
        <v>1092</v>
      </c>
      <c r="D118" s="1">
        <v>408</v>
      </c>
      <c r="E118" s="1">
        <v>280795</v>
      </c>
      <c r="F118" s="1">
        <v>8.44</v>
      </c>
      <c r="G118" s="1">
        <v>4683</v>
      </c>
    </row>
    <row r="119" spans="1:7" ht="14.25" customHeight="1" x14ac:dyDescent="0.3">
      <c r="A119" s="2">
        <v>45649</v>
      </c>
      <c r="B119" s="1" t="s">
        <v>40</v>
      </c>
      <c r="C119" s="1">
        <v>1155</v>
      </c>
      <c r="D119" s="1">
        <v>425</v>
      </c>
      <c r="E119" s="1">
        <v>93347</v>
      </c>
      <c r="F119" s="1">
        <v>2.02</v>
      </c>
      <c r="G119" s="1">
        <v>47502</v>
      </c>
    </row>
    <row r="120" spans="1:7" ht="14.25" customHeight="1" x14ac:dyDescent="0.3">
      <c r="A120" s="2">
        <v>45649</v>
      </c>
      <c r="B120" s="1" t="s">
        <v>14</v>
      </c>
      <c r="C120" s="1">
        <v>1137</v>
      </c>
      <c r="D120" s="1">
        <v>226</v>
      </c>
      <c r="E120" s="1">
        <v>81119</v>
      </c>
      <c r="F120" s="1">
        <v>7.74</v>
      </c>
      <c r="G120" s="1">
        <v>35359</v>
      </c>
    </row>
    <row r="121" spans="1:7" ht="14.25" customHeight="1" x14ac:dyDescent="0.3">
      <c r="A121" s="2">
        <v>45649</v>
      </c>
      <c r="B121" s="1" t="s">
        <v>27</v>
      </c>
      <c r="C121" s="1">
        <v>1900</v>
      </c>
      <c r="D121" s="1">
        <v>311</v>
      </c>
      <c r="E121" s="1">
        <v>25177</v>
      </c>
      <c r="F121" s="1">
        <v>2.89</v>
      </c>
      <c r="G121" s="1">
        <v>14154</v>
      </c>
    </row>
    <row r="122" spans="1:7" ht="14.25" customHeight="1" x14ac:dyDescent="0.3">
      <c r="A122" s="2">
        <v>45656</v>
      </c>
      <c r="B122" s="1" t="s">
        <v>31</v>
      </c>
      <c r="C122" s="1">
        <v>1814</v>
      </c>
      <c r="D122" s="1">
        <v>49</v>
      </c>
      <c r="E122" s="1">
        <v>140804</v>
      </c>
      <c r="F122" s="1">
        <v>1.76</v>
      </c>
      <c r="G122" s="1">
        <v>4313</v>
      </c>
    </row>
    <row r="123" spans="1:7" ht="14.25" customHeight="1" x14ac:dyDescent="0.3">
      <c r="A123" s="2">
        <v>45656</v>
      </c>
      <c r="B123" s="1" t="s">
        <v>40</v>
      </c>
      <c r="C123" s="1">
        <v>1980</v>
      </c>
      <c r="D123" s="1">
        <v>204</v>
      </c>
      <c r="E123" s="1">
        <v>379431</v>
      </c>
      <c r="F123" s="1">
        <v>3.09</v>
      </c>
      <c r="G123" s="1">
        <v>25140</v>
      </c>
    </row>
    <row r="124" spans="1:7" ht="14.25" customHeight="1" x14ac:dyDescent="0.3">
      <c r="A124" s="2">
        <v>45656</v>
      </c>
      <c r="B124" s="1" t="s">
        <v>14</v>
      </c>
      <c r="C124" s="1">
        <v>1786</v>
      </c>
      <c r="D124" s="1">
        <v>257</v>
      </c>
      <c r="E124" s="1">
        <v>274831</v>
      </c>
      <c r="F124" s="1">
        <v>4.68</v>
      </c>
      <c r="G124" s="1">
        <v>9118</v>
      </c>
    </row>
    <row r="125" spans="1:7" ht="14.25" customHeight="1" x14ac:dyDescent="0.3">
      <c r="A125" s="2">
        <v>45656</v>
      </c>
      <c r="B125" s="1" t="s">
        <v>27</v>
      </c>
      <c r="C125" s="1">
        <v>1495</v>
      </c>
      <c r="D125" s="1">
        <v>35</v>
      </c>
      <c r="E125" s="1">
        <v>136845</v>
      </c>
      <c r="F125" s="1">
        <v>4.4800000000000004</v>
      </c>
      <c r="G125" s="1">
        <v>39931</v>
      </c>
    </row>
    <row r="126" spans="1:7" ht="14.25" customHeight="1" x14ac:dyDescent="0.3">
      <c r="A126" s="2">
        <v>45663</v>
      </c>
      <c r="B126" s="1" t="s">
        <v>31</v>
      </c>
      <c r="C126" s="1">
        <v>1013</v>
      </c>
      <c r="D126" s="1">
        <v>110</v>
      </c>
      <c r="E126" s="1">
        <v>466382</v>
      </c>
      <c r="F126" s="1">
        <v>5.3</v>
      </c>
      <c r="G126" s="1">
        <v>37132</v>
      </c>
    </row>
    <row r="127" spans="1:7" ht="14.25" customHeight="1" x14ac:dyDescent="0.3">
      <c r="A127" s="2">
        <v>45663</v>
      </c>
      <c r="B127" s="1" t="s">
        <v>40</v>
      </c>
      <c r="C127" s="1">
        <v>816</v>
      </c>
      <c r="D127" s="1">
        <v>196</v>
      </c>
      <c r="E127" s="1">
        <v>95728</v>
      </c>
      <c r="F127" s="1">
        <v>8.1999999999999993</v>
      </c>
      <c r="G127" s="1">
        <v>17951</v>
      </c>
    </row>
    <row r="128" spans="1:7" ht="14.25" customHeight="1" x14ac:dyDescent="0.3">
      <c r="A128" s="2">
        <v>45663</v>
      </c>
      <c r="B128" s="1" t="s">
        <v>14</v>
      </c>
      <c r="C128" s="1">
        <v>1633</v>
      </c>
      <c r="D128" s="1">
        <v>445</v>
      </c>
      <c r="E128" s="1">
        <v>371156</v>
      </c>
      <c r="F128" s="1">
        <v>2.2200000000000002</v>
      </c>
      <c r="G128" s="1">
        <v>2798</v>
      </c>
    </row>
    <row r="129" spans="1:7" ht="14.25" customHeight="1" x14ac:dyDescent="0.3">
      <c r="A129" s="2">
        <v>45663</v>
      </c>
      <c r="B129" s="1" t="s">
        <v>27</v>
      </c>
      <c r="C129" s="1">
        <v>891</v>
      </c>
      <c r="D129" s="1">
        <v>45</v>
      </c>
      <c r="E129" s="1">
        <v>95410</v>
      </c>
      <c r="F129" s="1">
        <v>8.33</v>
      </c>
      <c r="G129" s="1">
        <v>15045</v>
      </c>
    </row>
    <row r="130" spans="1:7" ht="14.25" customHeight="1" x14ac:dyDescent="0.3">
      <c r="A130" s="2">
        <v>45670</v>
      </c>
      <c r="B130" s="1" t="s">
        <v>31</v>
      </c>
      <c r="C130" s="1">
        <v>1855</v>
      </c>
      <c r="D130" s="1">
        <v>133</v>
      </c>
      <c r="E130" s="1">
        <v>349413</v>
      </c>
      <c r="F130" s="1">
        <v>3.3</v>
      </c>
      <c r="G130" s="1">
        <v>14548</v>
      </c>
    </row>
    <row r="131" spans="1:7" ht="14.25" customHeight="1" x14ac:dyDescent="0.3">
      <c r="A131" s="2">
        <v>45670</v>
      </c>
      <c r="B131" s="1" t="s">
        <v>40</v>
      </c>
      <c r="C131" s="1">
        <v>651</v>
      </c>
      <c r="D131" s="1">
        <v>353</v>
      </c>
      <c r="E131" s="1">
        <v>224699</v>
      </c>
      <c r="F131" s="1">
        <v>5.61</v>
      </c>
      <c r="G131" s="1">
        <v>45708</v>
      </c>
    </row>
    <row r="132" spans="1:7" ht="14.25" customHeight="1" x14ac:dyDescent="0.3">
      <c r="A132" s="2">
        <v>45670</v>
      </c>
      <c r="B132" s="1" t="s">
        <v>14</v>
      </c>
      <c r="C132" s="1">
        <v>118</v>
      </c>
      <c r="D132" s="1">
        <v>262</v>
      </c>
      <c r="E132" s="1">
        <v>487896</v>
      </c>
      <c r="F132" s="1">
        <v>2.56</v>
      </c>
      <c r="G132" s="1">
        <v>12350</v>
      </c>
    </row>
    <row r="133" spans="1:7" ht="14.25" customHeight="1" x14ac:dyDescent="0.3">
      <c r="A133" s="2">
        <v>45670</v>
      </c>
      <c r="B133" s="1" t="s">
        <v>27</v>
      </c>
      <c r="C133" s="1">
        <v>1331</v>
      </c>
      <c r="D133" s="1">
        <v>430</v>
      </c>
      <c r="E133" s="1">
        <v>14437</v>
      </c>
      <c r="F133" s="1">
        <v>3.29</v>
      </c>
      <c r="G133" s="1">
        <v>40868</v>
      </c>
    </row>
    <row r="134" spans="1:7" ht="14.25" customHeight="1" x14ac:dyDescent="0.3">
      <c r="A134" s="2">
        <v>45677</v>
      </c>
      <c r="B134" s="1" t="s">
        <v>31</v>
      </c>
      <c r="C134" s="1">
        <v>1748</v>
      </c>
      <c r="D134" s="1">
        <v>176</v>
      </c>
      <c r="E134" s="1">
        <v>383681</v>
      </c>
      <c r="F134" s="1">
        <v>9.24</v>
      </c>
      <c r="G134" s="1">
        <v>43122</v>
      </c>
    </row>
    <row r="135" spans="1:7" ht="14.25" customHeight="1" x14ac:dyDescent="0.3">
      <c r="A135" s="2">
        <v>45677</v>
      </c>
      <c r="B135" s="1" t="s">
        <v>40</v>
      </c>
      <c r="C135" s="1">
        <v>663</v>
      </c>
      <c r="D135" s="1">
        <v>236</v>
      </c>
      <c r="E135" s="1">
        <v>479490</v>
      </c>
      <c r="F135" s="1">
        <v>4.51</v>
      </c>
      <c r="G135" s="1">
        <v>23853</v>
      </c>
    </row>
    <row r="136" spans="1:7" ht="14.25" customHeight="1" x14ac:dyDescent="0.3">
      <c r="A136" s="2">
        <v>45677</v>
      </c>
      <c r="B136" s="1" t="s">
        <v>14</v>
      </c>
      <c r="C136" s="1">
        <v>1040</v>
      </c>
      <c r="D136" s="1">
        <v>149</v>
      </c>
      <c r="E136" s="1">
        <v>124404</v>
      </c>
      <c r="F136" s="1">
        <v>5.23</v>
      </c>
      <c r="G136" s="1">
        <v>45380</v>
      </c>
    </row>
    <row r="137" spans="1:7" ht="14.25" customHeight="1" x14ac:dyDescent="0.3">
      <c r="A137" s="2">
        <v>45677</v>
      </c>
      <c r="B137" s="1" t="s">
        <v>27</v>
      </c>
      <c r="C137" s="1">
        <v>1166</v>
      </c>
      <c r="D137" s="1">
        <v>442</v>
      </c>
      <c r="E137" s="1">
        <v>336949</v>
      </c>
      <c r="F137" s="1">
        <v>4.68</v>
      </c>
      <c r="G137" s="1">
        <v>7705</v>
      </c>
    </row>
    <row r="138" spans="1:7" ht="14.25" customHeight="1" x14ac:dyDescent="0.3">
      <c r="A138" s="2">
        <v>45684</v>
      </c>
      <c r="B138" s="1" t="s">
        <v>31</v>
      </c>
      <c r="C138" s="1">
        <v>115</v>
      </c>
      <c r="D138" s="1">
        <v>281</v>
      </c>
      <c r="E138" s="1">
        <v>357265</v>
      </c>
      <c r="F138" s="1">
        <v>9.23</v>
      </c>
      <c r="G138" s="1">
        <v>25525</v>
      </c>
    </row>
    <row r="139" spans="1:7" ht="14.25" customHeight="1" x14ac:dyDescent="0.3">
      <c r="A139" s="2">
        <v>45684</v>
      </c>
      <c r="B139" s="1" t="s">
        <v>40</v>
      </c>
      <c r="C139" s="1">
        <v>1249</v>
      </c>
      <c r="D139" s="1">
        <v>351</v>
      </c>
      <c r="E139" s="1">
        <v>321307</v>
      </c>
      <c r="F139" s="1">
        <v>6.37</v>
      </c>
      <c r="G139" s="1">
        <v>20560</v>
      </c>
    </row>
    <row r="140" spans="1:7" ht="14.25" customHeight="1" x14ac:dyDescent="0.3">
      <c r="A140" s="2">
        <v>45684</v>
      </c>
      <c r="B140" s="1" t="s">
        <v>14</v>
      </c>
      <c r="C140" s="1">
        <v>1501</v>
      </c>
      <c r="D140" s="1">
        <v>75</v>
      </c>
      <c r="E140" s="1">
        <v>262569</v>
      </c>
      <c r="F140" s="1">
        <v>2.0099999999999998</v>
      </c>
      <c r="G140" s="1">
        <v>19119</v>
      </c>
    </row>
    <row r="141" spans="1:7" ht="14.25" customHeight="1" x14ac:dyDescent="0.3">
      <c r="A141" s="2">
        <v>45684</v>
      </c>
      <c r="B141" s="1" t="s">
        <v>27</v>
      </c>
      <c r="C141" s="1">
        <v>1411</v>
      </c>
      <c r="D141" s="1">
        <v>186</v>
      </c>
      <c r="E141" s="1">
        <v>461669</v>
      </c>
      <c r="F141" s="1">
        <v>3.72</v>
      </c>
      <c r="G141" s="1">
        <v>43999</v>
      </c>
    </row>
    <row r="142" spans="1:7" ht="14.25" customHeight="1" x14ac:dyDescent="0.3">
      <c r="A142" s="2">
        <v>45691</v>
      </c>
      <c r="B142" s="1" t="s">
        <v>31</v>
      </c>
      <c r="C142" s="1">
        <v>1556</v>
      </c>
      <c r="D142" s="1">
        <v>476</v>
      </c>
      <c r="E142" s="1">
        <v>351556</v>
      </c>
      <c r="F142" s="1">
        <v>3.89</v>
      </c>
      <c r="G142" s="1">
        <v>10825</v>
      </c>
    </row>
    <row r="143" spans="1:7" ht="14.25" customHeight="1" x14ac:dyDescent="0.3">
      <c r="A143" s="2">
        <v>45691</v>
      </c>
      <c r="B143" s="1" t="s">
        <v>40</v>
      </c>
      <c r="C143" s="1">
        <v>1159</v>
      </c>
      <c r="D143" s="1">
        <v>411</v>
      </c>
      <c r="E143" s="1">
        <v>135987</v>
      </c>
      <c r="F143" s="1">
        <v>8.6999999999999993</v>
      </c>
      <c r="G143" s="1">
        <v>40323</v>
      </c>
    </row>
    <row r="144" spans="1:7" ht="14.25" customHeight="1" x14ac:dyDescent="0.3">
      <c r="A144" s="2">
        <v>45691</v>
      </c>
      <c r="B144" s="1" t="s">
        <v>14</v>
      </c>
      <c r="C144" s="1">
        <v>927</v>
      </c>
      <c r="D144" s="1">
        <v>358</v>
      </c>
      <c r="E144" s="1">
        <v>177554</v>
      </c>
      <c r="F144" s="1">
        <v>6.95</v>
      </c>
      <c r="G144" s="1">
        <v>48270</v>
      </c>
    </row>
    <row r="145" spans="1:7" ht="14.25" customHeight="1" x14ac:dyDescent="0.3">
      <c r="A145" s="2">
        <v>45691</v>
      </c>
      <c r="B145" s="1" t="s">
        <v>27</v>
      </c>
      <c r="C145" s="1">
        <v>152</v>
      </c>
      <c r="D145" s="1">
        <v>355</v>
      </c>
      <c r="E145" s="1">
        <v>270766</v>
      </c>
      <c r="F145" s="1">
        <v>9.48</v>
      </c>
      <c r="G145" s="1">
        <v>18001</v>
      </c>
    </row>
    <row r="146" spans="1:7" ht="14.25" customHeight="1" x14ac:dyDescent="0.3">
      <c r="A146" s="2">
        <v>45698</v>
      </c>
      <c r="B146" s="1" t="s">
        <v>31</v>
      </c>
      <c r="C146" s="1">
        <v>1957</v>
      </c>
      <c r="D146" s="1">
        <v>234</v>
      </c>
      <c r="E146" s="1">
        <v>222126</v>
      </c>
      <c r="F146" s="1">
        <v>4.6100000000000003</v>
      </c>
      <c r="G146" s="1">
        <v>3314</v>
      </c>
    </row>
    <row r="147" spans="1:7" ht="14.25" customHeight="1" x14ac:dyDescent="0.3">
      <c r="A147" s="2">
        <v>45698</v>
      </c>
      <c r="B147" s="1" t="s">
        <v>40</v>
      </c>
      <c r="C147" s="1">
        <v>1294</v>
      </c>
      <c r="D147" s="1">
        <v>382</v>
      </c>
      <c r="E147" s="1">
        <v>309914</v>
      </c>
      <c r="F147" s="1">
        <v>8.0299999999999994</v>
      </c>
      <c r="G147" s="1">
        <v>23489</v>
      </c>
    </row>
    <row r="148" spans="1:7" ht="14.25" customHeight="1" x14ac:dyDescent="0.3">
      <c r="A148" s="2">
        <v>45698</v>
      </c>
      <c r="B148" s="1" t="s">
        <v>14</v>
      </c>
      <c r="C148" s="1">
        <v>1587</v>
      </c>
      <c r="D148" s="1">
        <v>385</v>
      </c>
      <c r="E148" s="1">
        <v>126582</v>
      </c>
      <c r="F148" s="1">
        <v>6.99</v>
      </c>
      <c r="G148" s="1">
        <v>42832</v>
      </c>
    </row>
    <row r="149" spans="1:7" ht="14.25" customHeight="1" x14ac:dyDescent="0.3">
      <c r="A149" s="2">
        <v>45698</v>
      </c>
      <c r="B149" s="1" t="s">
        <v>27</v>
      </c>
      <c r="C149" s="1">
        <v>1707</v>
      </c>
      <c r="D149" s="1">
        <v>263</v>
      </c>
      <c r="E149" s="1">
        <v>485280</v>
      </c>
      <c r="F149" s="1">
        <v>9.0299999999999994</v>
      </c>
      <c r="G149" s="1">
        <v>24494</v>
      </c>
    </row>
    <row r="150" spans="1:7" ht="14.25" customHeight="1" x14ac:dyDescent="0.3">
      <c r="A150" s="2">
        <v>45705</v>
      </c>
      <c r="B150" s="1" t="s">
        <v>31</v>
      </c>
      <c r="C150" s="1">
        <v>1138</v>
      </c>
      <c r="D150" s="1">
        <v>173</v>
      </c>
      <c r="E150" s="1">
        <v>453243</v>
      </c>
      <c r="F150" s="1">
        <v>2.86</v>
      </c>
      <c r="G150" s="1">
        <v>44097</v>
      </c>
    </row>
    <row r="151" spans="1:7" ht="14.25" customHeight="1" x14ac:dyDescent="0.3">
      <c r="A151" s="2">
        <v>45705</v>
      </c>
      <c r="B151" s="1" t="s">
        <v>40</v>
      </c>
      <c r="C151" s="1">
        <v>1895</v>
      </c>
      <c r="D151" s="1">
        <v>305</v>
      </c>
      <c r="E151" s="1">
        <v>104967</v>
      </c>
      <c r="F151" s="1">
        <v>3.85</v>
      </c>
      <c r="G151" s="1">
        <v>31853</v>
      </c>
    </row>
    <row r="152" spans="1:7" ht="14.25" customHeight="1" x14ac:dyDescent="0.3">
      <c r="A152" s="2">
        <v>45705</v>
      </c>
      <c r="B152" s="1" t="s">
        <v>14</v>
      </c>
      <c r="C152" s="1">
        <v>362</v>
      </c>
      <c r="D152" s="1">
        <v>399</v>
      </c>
      <c r="E152" s="1">
        <v>145608</v>
      </c>
      <c r="F152" s="1">
        <v>7.3</v>
      </c>
      <c r="G152" s="1">
        <v>37636</v>
      </c>
    </row>
    <row r="153" spans="1:7" ht="14.25" customHeight="1" x14ac:dyDescent="0.3">
      <c r="A153" s="2">
        <v>45705</v>
      </c>
      <c r="B153" s="1" t="s">
        <v>27</v>
      </c>
      <c r="C153" s="1">
        <v>1662</v>
      </c>
      <c r="D153" s="1">
        <v>487</v>
      </c>
      <c r="E153" s="1">
        <v>105980</v>
      </c>
      <c r="F153" s="1">
        <v>9.08</v>
      </c>
      <c r="G153" s="1">
        <v>22996</v>
      </c>
    </row>
    <row r="154" spans="1:7" ht="14.25" customHeight="1" x14ac:dyDescent="0.3">
      <c r="A154" s="2">
        <v>45712</v>
      </c>
      <c r="B154" s="1" t="s">
        <v>31</v>
      </c>
      <c r="C154" s="1">
        <v>1440</v>
      </c>
      <c r="D154" s="1">
        <v>65</v>
      </c>
      <c r="E154" s="1">
        <v>126524</v>
      </c>
      <c r="F154" s="1">
        <v>4.34</v>
      </c>
      <c r="G154" s="1">
        <v>49772</v>
      </c>
    </row>
    <row r="155" spans="1:7" ht="14.25" customHeight="1" x14ac:dyDescent="0.3">
      <c r="A155" s="2">
        <v>45712</v>
      </c>
      <c r="B155" s="1" t="s">
        <v>40</v>
      </c>
      <c r="C155" s="1">
        <v>1884</v>
      </c>
      <c r="D155" s="1">
        <v>177</v>
      </c>
      <c r="E155" s="1">
        <v>230448</v>
      </c>
      <c r="F155" s="1">
        <v>7.8</v>
      </c>
      <c r="G155" s="1">
        <v>22713</v>
      </c>
    </row>
    <row r="156" spans="1:7" ht="14.25" customHeight="1" x14ac:dyDescent="0.3">
      <c r="A156" s="2">
        <v>45712</v>
      </c>
      <c r="B156" s="1" t="s">
        <v>14</v>
      </c>
      <c r="C156" s="1">
        <v>861</v>
      </c>
      <c r="D156" s="1">
        <v>153</v>
      </c>
      <c r="E156" s="1">
        <v>317007</v>
      </c>
      <c r="F156" s="1">
        <v>3.85</v>
      </c>
      <c r="G156" s="1">
        <v>8718</v>
      </c>
    </row>
    <row r="157" spans="1:7" ht="14.25" customHeight="1" x14ac:dyDescent="0.3">
      <c r="A157" s="2">
        <v>45712</v>
      </c>
      <c r="B157" s="1" t="s">
        <v>27</v>
      </c>
      <c r="C157" s="1">
        <v>1063</v>
      </c>
      <c r="D157" s="1">
        <v>47</v>
      </c>
      <c r="E157" s="1">
        <v>464239</v>
      </c>
      <c r="F157" s="1">
        <v>6.58</v>
      </c>
      <c r="G157" s="1">
        <v>39031</v>
      </c>
    </row>
    <row r="158" spans="1:7" ht="14.25" customHeight="1" x14ac:dyDescent="0.3">
      <c r="A158" s="2">
        <v>45719</v>
      </c>
      <c r="B158" s="1" t="s">
        <v>31</v>
      </c>
      <c r="C158" s="1">
        <v>1371</v>
      </c>
      <c r="D158" s="1">
        <v>56</v>
      </c>
      <c r="E158" s="1">
        <v>257579</v>
      </c>
      <c r="F158" s="1">
        <v>8.6199999999999992</v>
      </c>
      <c r="G158" s="1">
        <v>33799</v>
      </c>
    </row>
    <row r="159" spans="1:7" ht="14.25" customHeight="1" x14ac:dyDescent="0.3">
      <c r="A159" s="2">
        <v>45719</v>
      </c>
      <c r="B159" s="1" t="s">
        <v>40</v>
      </c>
      <c r="C159" s="1">
        <v>345</v>
      </c>
      <c r="D159" s="1">
        <v>464</v>
      </c>
      <c r="E159" s="1">
        <v>366881</v>
      </c>
      <c r="F159" s="1">
        <v>4.55</v>
      </c>
      <c r="G159" s="1">
        <v>20553</v>
      </c>
    </row>
    <row r="160" spans="1:7" ht="14.25" customHeight="1" x14ac:dyDescent="0.3">
      <c r="A160" s="2">
        <v>45719</v>
      </c>
      <c r="B160" s="1" t="s">
        <v>14</v>
      </c>
      <c r="C160" s="1">
        <v>946</v>
      </c>
      <c r="D160" s="1">
        <v>47</v>
      </c>
      <c r="E160" s="1">
        <v>466575</v>
      </c>
      <c r="F160" s="1">
        <v>8.33</v>
      </c>
      <c r="G160" s="1">
        <v>10002</v>
      </c>
    </row>
    <row r="161" spans="1:7" ht="14.25" customHeight="1" x14ac:dyDescent="0.3">
      <c r="A161" s="2">
        <v>45719</v>
      </c>
      <c r="B161" s="1" t="s">
        <v>27</v>
      </c>
      <c r="C161" s="1">
        <v>510</v>
      </c>
      <c r="D161" s="1">
        <v>195</v>
      </c>
      <c r="E161" s="1">
        <v>224534</v>
      </c>
      <c r="F161" s="1">
        <v>9.4</v>
      </c>
      <c r="G161" s="1">
        <v>30987</v>
      </c>
    </row>
    <row r="162" spans="1:7" ht="14.25" customHeight="1" x14ac:dyDescent="0.3">
      <c r="A162" s="2">
        <v>45726</v>
      </c>
      <c r="B162" s="1" t="s">
        <v>31</v>
      </c>
      <c r="C162" s="1">
        <v>393</v>
      </c>
      <c r="D162" s="1">
        <v>181</v>
      </c>
      <c r="E162" s="1">
        <v>462142</v>
      </c>
      <c r="F162" s="1">
        <v>7.23</v>
      </c>
      <c r="G162" s="1">
        <v>6296</v>
      </c>
    </row>
    <row r="163" spans="1:7" ht="14.25" customHeight="1" x14ac:dyDescent="0.3">
      <c r="A163" s="2">
        <v>45726</v>
      </c>
      <c r="B163" s="1" t="s">
        <v>40</v>
      </c>
      <c r="C163" s="1">
        <v>1098</v>
      </c>
      <c r="D163" s="1">
        <v>190</v>
      </c>
      <c r="E163" s="1">
        <v>340842</v>
      </c>
      <c r="F163" s="1">
        <v>9.39</v>
      </c>
      <c r="G163" s="1">
        <v>21539</v>
      </c>
    </row>
    <row r="164" spans="1:7" ht="14.25" customHeight="1" x14ac:dyDescent="0.3">
      <c r="A164" s="2">
        <v>45726</v>
      </c>
      <c r="B164" s="1" t="s">
        <v>14</v>
      </c>
      <c r="C164" s="1">
        <v>1399</v>
      </c>
      <c r="D164" s="1">
        <v>49</v>
      </c>
      <c r="E164" s="1">
        <v>12471</v>
      </c>
      <c r="F164" s="1">
        <v>5.12</v>
      </c>
      <c r="G164" s="1">
        <v>14722</v>
      </c>
    </row>
    <row r="165" spans="1:7" ht="14.25" customHeight="1" x14ac:dyDescent="0.3">
      <c r="A165" s="2">
        <v>45726</v>
      </c>
      <c r="B165" s="1" t="s">
        <v>27</v>
      </c>
      <c r="C165" s="1">
        <v>1658</v>
      </c>
      <c r="D165" s="1">
        <v>416</v>
      </c>
      <c r="E165" s="1">
        <v>98397</v>
      </c>
      <c r="F165" s="1">
        <v>6.11</v>
      </c>
      <c r="G165" s="1">
        <v>11383</v>
      </c>
    </row>
    <row r="166" spans="1:7" ht="14.25" customHeight="1" x14ac:dyDescent="0.3">
      <c r="A166" s="2">
        <v>45733</v>
      </c>
      <c r="B166" s="1" t="s">
        <v>31</v>
      </c>
      <c r="C166" s="1">
        <v>1102</v>
      </c>
      <c r="D166" s="1">
        <v>422</v>
      </c>
      <c r="E166" s="1">
        <v>410330</v>
      </c>
      <c r="F166" s="1">
        <v>7.74</v>
      </c>
      <c r="G166" s="1">
        <v>9480</v>
      </c>
    </row>
    <row r="167" spans="1:7" ht="14.25" customHeight="1" x14ac:dyDescent="0.3">
      <c r="A167" s="2">
        <v>45733</v>
      </c>
      <c r="B167" s="1" t="s">
        <v>40</v>
      </c>
      <c r="C167" s="1">
        <v>1358</v>
      </c>
      <c r="D167" s="1">
        <v>242</v>
      </c>
      <c r="E167" s="1">
        <v>342129</v>
      </c>
      <c r="F167" s="1">
        <v>4.9400000000000004</v>
      </c>
      <c r="G167" s="1">
        <v>29116</v>
      </c>
    </row>
    <row r="168" spans="1:7" ht="14.25" customHeight="1" x14ac:dyDescent="0.3">
      <c r="A168" s="2">
        <v>45733</v>
      </c>
      <c r="B168" s="1" t="s">
        <v>14</v>
      </c>
      <c r="C168" s="1">
        <v>1077</v>
      </c>
      <c r="D168" s="1">
        <v>216</v>
      </c>
      <c r="E168" s="1">
        <v>12447</v>
      </c>
      <c r="F168" s="1">
        <v>1.8</v>
      </c>
      <c r="G168" s="1">
        <v>14068</v>
      </c>
    </row>
    <row r="169" spans="1:7" ht="14.25" customHeight="1" x14ac:dyDescent="0.3">
      <c r="A169" s="2">
        <v>45733</v>
      </c>
      <c r="B169" s="1" t="s">
        <v>27</v>
      </c>
      <c r="C169" s="1">
        <v>1596</v>
      </c>
      <c r="D169" s="1">
        <v>211</v>
      </c>
      <c r="E169" s="1">
        <v>17380</v>
      </c>
      <c r="F169" s="1">
        <v>8.64</v>
      </c>
      <c r="G169" s="1">
        <v>35801</v>
      </c>
    </row>
    <row r="170" spans="1:7" ht="14.25" customHeight="1" x14ac:dyDescent="0.3">
      <c r="A170" s="2">
        <v>45740</v>
      </c>
      <c r="B170" s="1" t="s">
        <v>31</v>
      </c>
      <c r="C170" s="1">
        <v>490</v>
      </c>
      <c r="D170" s="1">
        <v>29</v>
      </c>
      <c r="E170" s="1">
        <v>364810</v>
      </c>
      <c r="F170" s="1">
        <v>1.53</v>
      </c>
      <c r="G170" s="1">
        <v>49077</v>
      </c>
    </row>
    <row r="171" spans="1:7" ht="14.25" customHeight="1" x14ac:dyDescent="0.3">
      <c r="A171" s="2">
        <v>45740</v>
      </c>
      <c r="B171" s="1" t="s">
        <v>40</v>
      </c>
      <c r="C171" s="1">
        <v>609</v>
      </c>
      <c r="D171" s="1">
        <v>135</v>
      </c>
      <c r="E171" s="1">
        <v>373606</v>
      </c>
      <c r="F171" s="1">
        <v>8.52</v>
      </c>
      <c r="G171" s="1">
        <v>21453</v>
      </c>
    </row>
    <row r="172" spans="1:7" ht="14.25" customHeight="1" x14ac:dyDescent="0.3">
      <c r="A172" s="2">
        <v>45740</v>
      </c>
      <c r="B172" s="1" t="s">
        <v>14</v>
      </c>
      <c r="C172" s="1">
        <v>364</v>
      </c>
      <c r="D172" s="1">
        <v>72</v>
      </c>
      <c r="E172" s="1">
        <v>211090</v>
      </c>
      <c r="F172" s="1">
        <v>5.53</v>
      </c>
      <c r="G172" s="1">
        <v>21061</v>
      </c>
    </row>
    <row r="173" spans="1:7" ht="14.25" customHeight="1" x14ac:dyDescent="0.3">
      <c r="A173" s="2">
        <v>45740</v>
      </c>
      <c r="B173" s="1" t="s">
        <v>27</v>
      </c>
      <c r="C173" s="1">
        <v>442</v>
      </c>
      <c r="D173" s="1">
        <v>53</v>
      </c>
      <c r="E173" s="1">
        <v>441931</v>
      </c>
      <c r="F173" s="1">
        <v>1.87</v>
      </c>
      <c r="G173" s="1">
        <v>20059</v>
      </c>
    </row>
    <row r="174" spans="1:7" ht="14.25" customHeight="1" x14ac:dyDescent="0.3">
      <c r="A174" s="2">
        <v>45747</v>
      </c>
      <c r="B174" s="1" t="s">
        <v>31</v>
      </c>
      <c r="C174" s="1">
        <v>1033</v>
      </c>
      <c r="D174" s="1">
        <v>392</v>
      </c>
      <c r="E174" s="1">
        <v>282780</v>
      </c>
      <c r="F174" s="1">
        <v>6.27</v>
      </c>
      <c r="G174" s="1">
        <v>23140</v>
      </c>
    </row>
    <row r="175" spans="1:7" ht="14.25" customHeight="1" x14ac:dyDescent="0.3">
      <c r="A175" s="2">
        <v>45747</v>
      </c>
      <c r="B175" s="1" t="s">
        <v>40</v>
      </c>
      <c r="C175" s="1">
        <v>988</v>
      </c>
      <c r="D175" s="1">
        <v>474</v>
      </c>
      <c r="E175" s="1">
        <v>370070</v>
      </c>
      <c r="F175" s="1">
        <v>9.4600000000000009</v>
      </c>
      <c r="G175" s="1">
        <v>23461</v>
      </c>
    </row>
    <row r="176" spans="1:7" ht="14.25" customHeight="1" x14ac:dyDescent="0.3">
      <c r="A176" s="2">
        <v>45747</v>
      </c>
      <c r="B176" s="1" t="s">
        <v>14</v>
      </c>
      <c r="C176" s="1">
        <v>1946</v>
      </c>
      <c r="D176" s="1">
        <v>270</v>
      </c>
      <c r="E176" s="1">
        <v>198350</v>
      </c>
      <c r="F176" s="1">
        <v>7.5</v>
      </c>
      <c r="G176" s="1">
        <v>11805</v>
      </c>
    </row>
    <row r="177" spans="1:7" ht="14.25" customHeight="1" x14ac:dyDescent="0.3">
      <c r="A177" s="2">
        <v>45747</v>
      </c>
      <c r="B177" s="1" t="s">
        <v>27</v>
      </c>
      <c r="C177" s="1">
        <v>1957</v>
      </c>
      <c r="D177" s="1">
        <v>490</v>
      </c>
      <c r="E177" s="1">
        <v>435726</v>
      </c>
      <c r="F177" s="1">
        <v>4.7300000000000004</v>
      </c>
      <c r="G177" s="1">
        <v>15969</v>
      </c>
    </row>
    <row r="178" spans="1:7" ht="14.25" customHeight="1" x14ac:dyDescent="0.3">
      <c r="A178" s="2">
        <v>45754</v>
      </c>
      <c r="B178" s="1" t="s">
        <v>31</v>
      </c>
      <c r="C178" s="1">
        <v>559</v>
      </c>
      <c r="D178" s="1">
        <v>392</v>
      </c>
      <c r="E178" s="1">
        <v>78789</v>
      </c>
      <c r="F178" s="1">
        <v>3.19</v>
      </c>
      <c r="G178" s="1">
        <v>2436</v>
      </c>
    </row>
    <row r="179" spans="1:7" ht="14.25" customHeight="1" x14ac:dyDescent="0.3">
      <c r="A179" s="2">
        <v>45754</v>
      </c>
      <c r="B179" s="1" t="s">
        <v>40</v>
      </c>
      <c r="C179" s="1">
        <v>1307</v>
      </c>
      <c r="D179" s="1">
        <v>278</v>
      </c>
      <c r="E179" s="1">
        <v>98596</v>
      </c>
      <c r="F179" s="1">
        <v>2.4900000000000002</v>
      </c>
      <c r="G179" s="1">
        <v>47603</v>
      </c>
    </row>
    <row r="180" spans="1:7" ht="14.25" customHeight="1" x14ac:dyDescent="0.3">
      <c r="A180" s="2">
        <v>45754</v>
      </c>
      <c r="B180" s="1" t="s">
        <v>14</v>
      </c>
      <c r="C180" s="1">
        <v>1432</v>
      </c>
      <c r="D180" s="1">
        <v>425</v>
      </c>
      <c r="E180" s="1">
        <v>29589</v>
      </c>
      <c r="F180" s="1">
        <v>4.5</v>
      </c>
      <c r="G180" s="1">
        <v>42964</v>
      </c>
    </row>
    <row r="181" spans="1:7" ht="14.25" customHeight="1" x14ac:dyDescent="0.3">
      <c r="A181" s="2">
        <v>45754</v>
      </c>
      <c r="B181" s="1" t="s">
        <v>27</v>
      </c>
      <c r="C181" s="1">
        <v>623</v>
      </c>
      <c r="D181" s="1">
        <v>414</v>
      </c>
      <c r="E181" s="1">
        <v>290354</v>
      </c>
      <c r="F181" s="1">
        <v>6.49</v>
      </c>
      <c r="G181" s="1">
        <v>39923</v>
      </c>
    </row>
    <row r="182" spans="1:7" ht="14.25" customHeight="1" x14ac:dyDescent="0.3">
      <c r="A182" s="2">
        <v>45761</v>
      </c>
      <c r="B182" s="1" t="s">
        <v>31</v>
      </c>
      <c r="C182" s="1">
        <v>198</v>
      </c>
      <c r="D182" s="1">
        <v>358</v>
      </c>
      <c r="E182" s="1">
        <v>66682</v>
      </c>
      <c r="F182" s="1">
        <v>6.73</v>
      </c>
      <c r="G182" s="1">
        <v>2293</v>
      </c>
    </row>
    <row r="183" spans="1:7" ht="14.25" customHeight="1" x14ac:dyDescent="0.3">
      <c r="A183" s="2">
        <v>45761</v>
      </c>
      <c r="B183" s="1" t="s">
        <v>40</v>
      </c>
      <c r="C183" s="1">
        <v>198</v>
      </c>
      <c r="D183" s="1">
        <v>373</v>
      </c>
      <c r="E183" s="1">
        <v>70707</v>
      </c>
      <c r="F183" s="1">
        <v>4.83</v>
      </c>
      <c r="G183" s="1">
        <v>25920</v>
      </c>
    </row>
    <row r="184" spans="1:7" ht="14.25" customHeight="1" x14ac:dyDescent="0.3">
      <c r="A184" s="2">
        <v>45761</v>
      </c>
      <c r="B184" s="1" t="s">
        <v>14</v>
      </c>
      <c r="C184" s="1">
        <v>353</v>
      </c>
      <c r="D184" s="1">
        <v>300</v>
      </c>
      <c r="E184" s="1">
        <v>142507</v>
      </c>
      <c r="F184" s="1">
        <v>5.3</v>
      </c>
      <c r="G184" s="1">
        <v>11035</v>
      </c>
    </row>
    <row r="185" spans="1:7" ht="14.25" customHeight="1" x14ac:dyDescent="0.3">
      <c r="A185" s="2">
        <v>45761</v>
      </c>
      <c r="B185" s="1" t="s">
        <v>27</v>
      </c>
      <c r="C185" s="1">
        <v>520</v>
      </c>
      <c r="D185" s="1">
        <v>375</v>
      </c>
      <c r="E185" s="1">
        <v>369525</v>
      </c>
      <c r="F185" s="1">
        <v>6.54</v>
      </c>
      <c r="G185" s="1">
        <v>20733</v>
      </c>
    </row>
    <row r="186" spans="1:7" ht="14.25" customHeight="1" x14ac:dyDescent="0.3">
      <c r="A186" s="2">
        <v>45768</v>
      </c>
      <c r="B186" s="1" t="s">
        <v>31</v>
      </c>
      <c r="C186" s="1">
        <v>961</v>
      </c>
      <c r="D186" s="1">
        <v>358</v>
      </c>
      <c r="E186" s="1">
        <v>62942</v>
      </c>
      <c r="F186" s="1">
        <v>6.8</v>
      </c>
      <c r="G186" s="1">
        <v>18693</v>
      </c>
    </row>
    <row r="187" spans="1:7" ht="14.25" customHeight="1" x14ac:dyDescent="0.3">
      <c r="A187" s="2">
        <v>45768</v>
      </c>
      <c r="B187" s="1" t="s">
        <v>40</v>
      </c>
      <c r="C187" s="1">
        <v>1375</v>
      </c>
      <c r="D187" s="1">
        <v>330</v>
      </c>
      <c r="E187" s="1">
        <v>377382</v>
      </c>
      <c r="F187" s="1">
        <v>2.6</v>
      </c>
      <c r="G187" s="1">
        <v>7875</v>
      </c>
    </row>
    <row r="188" spans="1:7" ht="14.25" customHeight="1" x14ac:dyDescent="0.3">
      <c r="A188" s="2">
        <v>45768</v>
      </c>
      <c r="B188" s="1" t="s">
        <v>14</v>
      </c>
      <c r="C188" s="1">
        <v>1147</v>
      </c>
      <c r="D188" s="1">
        <v>388</v>
      </c>
      <c r="E188" s="1">
        <v>333851</v>
      </c>
      <c r="F188" s="1">
        <v>2.44</v>
      </c>
      <c r="G188" s="1">
        <v>8471</v>
      </c>
    </row>
    <row r="189" spans="1:7" ht="14.25" customHeight="1" x14ac:dyDescent="0.3">
      <c r="A189" s="2">
        <v>45768</v>
      </c>
      <c r="B189" s="1" t="s">
        <v>27</v>
      </c>
      <c r="C189" s="1">
        <v>1707</v>
      </c>
      <c r="D189" s="1">
        <v>74</v>
      </c>
      <c r="E189" s="1">
        <v>270958</v>
      </c>
      <c r="F189" s="1">
        <v>3.09</v>
      </c>
      <c r="G189" s="1">
        <v>14090</v>
      </c>
    </row>
    <row r="190" spans="1:7" ht="14.25" customHeight="1" x14ac:dyDescent="0.3">
      <c r="A190" s="2">
        <v>45775</v>
      </c>
      <c r="B190" s="1" t="s">
        <v>31</v>
      </c>
      <c r="C190" s="1">
        <v>1693</v>
      </c>
      <c r="D190" s="1">
        <v>154</v>
      </c>
      <c r="E190" s="1">
        <v>445944</v>
      </c>
      <c r="F190" s="1">
        <v>5.69</v>
      </c>
      <c r="G190" s="1">
        <v>14216</v>
      </c>
    </row>
    <row r="191" spans="1:7" ht="14.25" customHeight="1" x14ac:dyDescent="0.3">
      <c r="A191" s="2">
        <v>45775</v>
      </c>
      <c r="B191" s="1" t="s">
        <v>40</v>
      </c>
      <c r="C191" s="1">
        <v>833</v>
      </c>
      <c r="D191" s="1">
        <v>380</v>
      </c>
      <c r="E191" s="1">
        <v>224830</v>
      </c>
      <c r="F191" s="1">
        <v>3.86</v>
      </c>
      <c r="G191" s="1">
        <v>3582</v>
      </c>
    </row>
    <row r="192" spans="1:7" ht="14.25" customHeight="1" x14ac:dyDescent="0.3">
      <c r="A192" s="2">
        <v>45775</v>
      </c>
      <c r="B192" s="1" t="s">
        <v>14</v>
      </c>
      <c r="C192" s="1">
        <v>1222</v>
      </c>
      <c r="D192" s="1">
        <v>274</v>
      </c>
      <c r="E192" s="1">
        <v>487289</v>
      </c>
      <c r="F192" s="1">
        <v>3.16</v>
      </c>
      <c r="G192" s="1">
        <v>32500</v>
      </c>
    </row>
    <row r="193" spans="1:7" ht="14.25" customHeight="1" x14ac:dyDescent="0.3">
      <c r="A193" s="2">
        <v>45775</v>
      </c>
      <c r="B193" s="1" t="s">
        <v>27</v>
      </c>
      <c r="C193" s="1">
        <v>777</v>
      </c>
      <c r="D193" s="1">
        <v>140</v>
      </c>
      <c r="E193" s="1">
        <v>11435</v>
      </c>
      <c r="F193" s="1">
        <v>1.6</v>
      </c>
      <c r="G193" s="1">
        <v>6832</v>
      </c>
    </row>
    <row r="194" spans="1:7" ht="14.25" customHeight="1" x14ac:dyDescent="0.3">
      <c r="A194" s="2">
        <v>45782</v>
      </c>
      <c r="B194" s="1" t="s">
        <v>31</v>
      </c>
      <c r="C194" s="1">
        <v>1957</v>
      </c>
      <c r="D194" s="1">
        <v>76</v>
      </c>
      <c r="E194" s="1">
        <v>447902</v>
      </c>
      <c r="F194" s="1">
        <v>6.09</v>
      </c>
      <c r="G194" s="1">
        <v>33381</v>
      </c>
    </row>
    <row r="195" spans="1:7" ht="14.25" customHeight="1" x14ac:dyDescent="0.3">
      <c r="A195" s="2">
        <v>45782</v>
      </c>
      <c r="B195" s="1" t="s">
        <v>40</v>
      </c>
      <c r="C195" s="1">
        <v>405</v>
      </c>
      <c r="D195" s="1">
        <v>66</v>
      </c>
      <c r="E195" s="1">
        <v>418696</v>
      </c>
      <c r="F195" s="1">
        <v>5.59</v>
      </c>
      <c r="G195" s="1">
        <v>48419</v>
      </c>
    </row>
    <row r="196" spans="1:7" ht="14.25" customHeight="1" x14ac:dyDescent="0.3">
      <c r="A196" s="2">
        <v>45782</v>
      </c>
      <c r="B196" s="1" t="s">
        <v>14</v>
      </c>
      <c r="C196" s="1">
        <v>1581</v>
      </c>
      <c r="D196" s="1">
        <v>71</v>
      </c>
      <c r="E196" s="1">
        <v>484364</v>
      </c>
      <c r="F196" s="1">
        <v>3.55</v>
      </c>
      <c r="G196" s="1">
        <v>16149</v>
      </c>
    </row>
    <row r="197" spans="1:7" ht="14.25" customHeight="1" x14ac:dyDescent="0.3">
      <c r="A197" s="2">
        <v>45782</v>
      </c>
      <c r="B197" s="1" t="s">
        <v>27</v>
      </c>
      <c r="C197" s="1">
        <v>1035</v>
      </c>
      <c r="D197" s="1">
        <v>171</v>
      </c>
      <c r="E197" s="1">
        <v>148477</v>
      </c>
      <c r="F197" s="1">
        <v>5.21</v>
      </c>
      <c r="G197" s="1">
        <v>7541</v>
      </c>
    </row>
    <row r="198" spans="1:7" ht="14.25" customHeight="1" x14ac:dyDescent="0.3">
      <c r="A198" s="2">
        <v>45789</v>
      </c>
      <c r="B198" s="1" t="s">
        <v>31</v>
      </c>
      <c r="C198" s="1">
        <v>1765</v>
      </c>
      <c r="D198" s="1">
        <v>109</v>
      </c>
      <c r="E198" s="1">
        <v>468301</v>
      </c>
      <c r="F198" s="1">
        <v>1.82</v>
      </c>
      <c r="G198" s="1">
        <v>20042</v>
      </c>
    </row>
    <row r="199" spans="1:7" ht="14.25" customHeight="1" x14ac:dyDescent="0.3">
      <c r="A199" s="2">
        <v>45789</v>
      </c>
      <c r="B199" s="1" t="s">
        <v>40</v>
      </c>
      <c r="C199" s="1">
        <v>837</v>
      </c>
      <c r="D199" s="1">
        <v>430</v>
      </c>
      <c r="E199" s="1">
        <v>364820</v>
      </c>
      <c r="F199" s="1">
        <v>4</v>
      </c>
      <c r="G199" s="1">
        <v>49400</v>
      </c>
    </row>
    <row r="200" spans="1:7" ht="14.25" customHeight="1" x14ac:dyDescent="0.3">
      <c r="A200" s="2">
        <v>45789</v>
      </c>
      <c r="B200" s="1" t="s">
        <v>14</v>
      </c>
      <c r="C200" s="1">
        <v>337</v>
      </c>
      <c r="D200" s="1">
        <v>68</v>
      </c>
      <c r="E200" s="1">
        <v>456298</v>
      </c>
      <c r="F200" s="1">
        <v>7.57</v>
      </c>
      <c r="G200" s="1">
        <v>4007</v>
      </c>
    </row>
    <row r="201" spans="1:7" ht="14.25" customHeight="1" x14ac:dyDescent="0.3">
      <c r="A201" s="2">
        <v>45789</v>
      </c>
      <c r="B201" s="1" t="s">
        <v>27</v>
      </c>
      <c r="C201" s="1">
        <v>119</v>
      </c>
      <c r="D201" s="1">
        <v>456</v>
      </c>
      <c r="E201" s="1">
        <v>82558</v>
      </c>
      <c r="F201" s="1">
        <v>6.81</v>
      </c>
      <c r="G201" s="1">
        <v>12174</v>
      </c>
    </row>
    <row r="202" spans="1:7" ht="14.25" customHeight="1" x14ac:dyDescent="0.3"/>
    <row r="203" spans="1:7" ht="14.25" customHeight="1" x14ac:dyDescent="0.3"/>
    <row r="204" spans="1:7" ht="14.25" customHeight="1" x14ac:dyDescent="0.3"/>
    <row r="205" spans="1:7" ht="14.25" customHeight="1" x14ac:dyDescent="0.3"/>
    <row r="206" spans="1:7" ht="14.25" customHeight="1" x14ac:dyDescent="0.3"/>
    <row r="207" spans="1:7" ht="14.25" customHeight="1" x14ac:dyDescent="0.3"/>
    <row r="208" spans="1:7"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defaultColWidth="14.44140625" defaultRowHeight="15" customHeight="1" x14ac:dyDescent="0.3"/>
  <cols>
    <col min="1" max="1" width="19.109375" customWidth="1"/>
    <col min="2" max="2" width="15.5546875" customWidth="1"/>
    <col min="3" max="3" width="28.5546875" customWidth="1"/>
    <col min="4" max="26" width="8.6640625" customWidth="1"/>
  </cols>
  <sheetData>
    <row r="1" spans="1:6" ht="14.25" customHeight="1" x14ac:dyDescent="0.3">
      <c r="A1" s="3" t="s">
        <v>12</v>
      </c>
      <c r="B1" s="4" t="s">
        <v>562</v>
      </c>
      <c r="C1" s="4" t="s">
        <v>563</v>
      </c>
      <c r="D1" s="3" t="s">
        <v>564</v>
      </c>
      <c r="E1" s="5" t="s">
        <v>565</v>
      </c>
      <c r="F1" s="3" t="s">
        <v>566</v>
      </c>
    </row>
    <row r="2" spans="1:6" ht="14.25" customHeight="1" x14ac:dyDescent="0.3">
      <c r="A2" s="3" t="s">
        <v>25</v>
      </c>
      <c r="B2" s="4">
        <v>45453</v>
      </c>
      <c r="C2" s="4">
        <v>45478</v>
      </c>
      <c r="D2" s="3" t="s">
        <v>567</v>
      </c>
      <c r="E2" s="5">
        <v>180000</v>
      </c>
      <c r="F2" s="3" t="s">
        <v>568</v>
      </c>
    </row>
    <row r="3" spans="1:6" ht="14.25" customHeight="1" x14ac:dyDescent="0.3">
      <c r="A3" s="3" t="s">
        <v>19</v>
      </c>
      <c r="B3" s="4">
        <v>45505</v>
      </c>
      <c r="C3" s="4">
        <v>45535</v>
      </c>
      <c r="D3" s="3" t="s">
        <v>569</v>
      </c>
      <c r="E3" s="5">
        <v>160000</v>
      </c>
      <c r="F3" s="3" t="s">
        <v>570</v>
      </c>
    </row>
    <row r="4" spans="1:6" ht="14.25" customHeight="1" x14ac:dyDescent="0.3">
      <c r="A4" s="3" t="s">
        <v>38</v>
      </c>
      <c r="B4" s="4">
        <v>45570</v>
      </c>
      <c r="C4" s="4">
        <v>45601</v>
      </c>
      <c r="D4" s="3" t="s">
        <v>571</v>
      </c>
      <c r="E4" s="5">
        <v>220000</v>
      </c>
      <c r="F4" s="3" t="s">
        <v>572</v>
      </c>
    </row>
    <row r="5" spans="1:6" ht="14.25" customHeight="1" x14ac:dyDescent="0.3">
      <c r="A5" s="6" t="s">
        <v>55</v>
      </c>
      <c r="B5" s="7">
        <v>45667</v>
      </c>
      <c r="C5" s="7">
        <v>45698</v>
      </c>
      <c r="D5" s="6" t="s">
        <v>573</v>
      </c>
      <c r="E5" s="8">
        <v>200000</v>
      </c>
      <c r="F5" s="9" t="s">
        <v>574</v>
      </c>
    </row>
    <row r="6" spans="1:6" ht="14.25" customHeight="1" x14ac:dyDescent="0.3"/>
    <row r="7" spans="1:6" ht="14.25" customHeight="1" x14ac:dyDescent="0.3"/>
    <row r="8" spans="1:6" ht="14.25" customHeight="1" x14ac:dyDescent="0.3"/>
    <row r="9" spans="1:6" ht="14.25" customHeight="1" x14ac:dyDescent="0.3"/>
    <row r="10" spans="1:6" ht="14.25" customHeight="1" x14ac:dyDescent="0.3"/>
    <row r="11" spans="1:6" ht="14.25" customHeight="1" x14ac:dyDescent="0.3"/>
    <row r="12" spans="1:6" ht="14.25" customHeight="1" x14ac:dyDescent="0.3"/>
    <row r="13" spans="1:6" ht="14.25" customHeight="1" x14ac:dyDescent="0.3"/>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76C977-0EA8-496F-A3CA-AC29E84C74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Post_Clean</vt:lpstr>
      <vt:lpstr>Engagment_Summary_Clean</vt:lpstr>
      <vt:lpstr>Campaign_Data_Clean</vt:lpstr>
      <vt:lpstr>Hashtag_Data_Clean</vt:lpstr>
      <vt:lpstr>Engagement_Analysis</vt:lpstr>
      <vt:lpstr>Platform_Analysis</vt:lpstr>
      <vt:lpstr>Hashtag_And_Content_Strategy</vt:lpstr>
      <vt:lpstr>Campaign_Effectiveness</vt:lpstr>
      <vt:lpstr>Follower_Retention_And_Loyality</vt:lpstr>
      <vt:lpstr>Post</vt:lpstr>
      <vt:lpstr>Engagment Summary</vt:lpstr>
      <vt:lpstr>Campaign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sushant shirsekar</cp:lastModifiedBy>
  <dcterms:created xsi:type="dcterms:W3CDTF">2025-11-20T05:25:56Z</dcterms:created>
  <dcterms:modified xsi:type="dcterms:W3CDTF">2026-01-18T10:14:11Z</dcterms:modified>
</cp:coreProperties>
</file>